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9f884a916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3441cc6e71a4fd7"/>
    <x:sheet xmlns:r="http://schemas.openxmlformats.org/officeDocument/2006/relationships" name="P0 Requirements" sheetId="2" r:id="Reb6c0fbb6c8e4a1f"/>
    <x:sheet xmlns:r="http://schemas.openxmlformats.org/officeDocument/2006/relationships" name="HLD Overview" sheetId="3" r:id="R24714bb495f04a00"/>
    <x:sheet xmlns:r="http://schemas.openxmlformats.org/officeDocument/2006/relationships" name="Module Status" sheetId="4" r:id="R7a4f1af50082406d"/>
    <x:sheet xmlns:r="http://schemas.openxmlformats.org/officeDocument/2006/relationships" name="LLD Interfaces" sheetId="5" r:id="R6ca1a995ef814c94"/>
    <x:sheet xmlns:r="http://schemas.openxmlformats.org/officeDocument/2006/relationships" name="LLD Behavior" sheetId="6" r:id="Re7c0d30e762b4f0a"/>
    <x:sheet xmlns:r="http://schemas.openxmlformats.org/officeDocument/2006/relationships" name="Communication" sheetId="7" r:id="Rc1420d2ec82a4085"/>
    <x:sheet xmlns:r="http://schemas.openxmlformats.org/officeDocument/2006/relationships" name="Workplan" sheetId="8" r:id="Raa96d1f2eb00410c"/>
    <x:sheet xmlns:r="http://schemas.openxmlformats.org/officeDocument/2006/relationships" name="Verification" sheetId="9" r:id="R5f47eb407f21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yyyy-mm-dd"/>
  </x:numFmts>
  <x:fonts count="12">
    <x:font>
      <x:sz val="11"/>
      <x:name val="Carlito"/>
    </x:font>
    <x:font>
      <x:b/>
      <x:sz val="18"/>
      <x:color rgb="FFFFFFFF"/>
      <x:name val="Aptos Display"/>
    </x:font>
    <x:font>
      <x:sz val="10"/>
      <x:color rgb="FF172B3A"/>
      <x:name val="Aptos"/>
    </x:font>
    <x:font>
      <x:b/>
      <x:sz val="9"/>
      <x:color rgb="FFFFFFFF"/>
      <x:name val="Aptos"/>
    </x:font>
    <x:font>
      <x:b/>
      <x:sz val="24"/>
      <x:color rgb="FF17324D"/>
      <x:name val="Aptos Display"/>
    </x:font>
    <x:font>
      <x:b/>
      <x:sz val="11"/>
      <x:color rgb="FFFFFFFF"/>
      <x:name val="Aptos"/>
    </x:font>
    <x:font>
      <x:sz val="9"/>
      <x:color rgb="FF172B3A"/>
      <x:name val="Aptos"/>
    </x:font>
    <x:font>
      <x:b/>
      <x:sz val="9"/>
      <x:color rgb="FF172B3A"/>
      <x:name val="Aptos"/>
    </x:font>
    <x:font>
      <x:b/>
      <x:sz val="11"/>
      <x:color rgb="FF172B3A"/>
      <x:name val="Aptos"/>
    </x:font>
    <x:font>
      <x:i/>
      <x:sz val="9"/>
      <x:color rgb="FF5D6C78"/>
      <x:name val="Aptos"/>
    </x:font>
    <x:font>
      <x:b/>
      <x:sz val="9"/>
      <x:color rgb="FF17324D"/>
      <x:name val="Aptos"/>
    </x:font>
    <x:font>
      <x:b/>
      <x:sz val="9"/>
      <x:color rgb="FF2877B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877B5"/>
      </x:patternFill>
    </x:fill>
    <x:fill>
      <x:patternFill patternType="solid">
        <x:fgColor rgb="FFF4F7FA"/>
      </x:patternFill>
    </x:fill>
  </x:fills>
  <x:borders count="6">
    <x:border/>
    <x:border>
      <x:bottom style="medium">
        <x:color rgb="FFDCEAF7"/>
      </x:bottom>
    </x:border>
    <x:border>
      <x:bottom style="medium">
        <x:color rgb="FF2877B5"/>
      </x:bottom>
    </x:border>
    <x:border>
      <x:bottom style="thin">
        <x:color rgb="FFD5DEE6"/>
      </x:bottom>
    </x:border>
    <x:border>
      <x:top style="thin">
        <x:color rgb="FFD5DEE6"/>
      </x:top>
      <x:bottom style="thin">
        <x:color rgb="FFD5DEE6"/>
      </x:bottom>
    </x:border>
    <x:border>
      <x:top style="thin">
        <x:color rgb="FFD5DEE6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left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horizontal="left" wrapText="1"/>
    </x:xf>
    <x:xf numFmtId="0" fontId="6" fillId="0" borderId="4" xfId="0" applyNumberFormat="1" applyFont="1" applyFill="1" applyBorder="1" applyAlignment="1">
      <x:alignment horizontal="left" wrapText="1"/>
    </x:xf>
    <x:xf numFmtId="0" fontId="6" fillId="0" borderId="5" xfId="0" applyNumberFormat="1" applyFont="1" applyFill="1" applyBorder="1" applyAlignment="1">
      <x:alignment horizontal="left" wrapText="1"/>
    </x:xf>
    <x:xf numFmtId="0" fontId="6" fillId="0" borderId="3" xfId="0" applyNumberFormat="1" applyFont="1" applyFill="1" applyBorder="1" applyAlignment="1">
      <x:alignment horizontal="left" vertical="top" wrapText="1"/>
    </x:xf>
    <x:xf numFmtId="0" fontId="6" fillId="0" borderId="4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horizontal="left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200" fontId="6" fillId="0" borderId="3" xfId="0" applyNumberFormat="1" applyFont="1" applyFill="1" applyBorder="1" applyAlignment="1">
      <x:alignment horizontal="center" vertical="top" wrapText="1"/>
    </x:xf>
    <x:xf numFmtId="200" fontId="6" fillId="0" borderId="4" xfId="0" applyNumberFormat="1" applyFont="1" applyFill="1" applyBorder="1" applyAlignment="1">
      <x:alignment horizontal="center" vertical="top" wrapText="1"/>
    </x:xf>
    <x:xf numFmtId="200" fontId="6" fillId="0" borderId="5" xfId="0" applyNumberFormat="1" applyFont="1" applyFill="1" applyBorder="1" applyAlignment="1">
      <x:alignment horizontal="center" vertical="top" wrapText="1"/>
    </x:xf>
    <x:xf numFmtId="201" fontId="6" fillId="0" borderId="3" xfId="0" applyNumberFormat="1" applyFont="1" applyFill="1" applyBorder="1" applyAlignment="1">
      <x:alignment horizontal="left" vertical="top" wrapText="1"/>
    </x:xf>
    <x:xf numFmtId="201" fontId="6" fillId="0" borderId="4" xfId="0" applyNumberFormat="1" applyFont="1" applyFill="1" applyBorder="1" applyAlignment="1">
      <x:alignment horizontal="left" vertical="top" wrapText="1"/>
    </x:xf>
    <x:xf numFmtId="201" fontId="6" fillId="0" borderId="5" xfId="0" applyNumberFormat="1" applyFont="1" applyFill="1" applyBorder="1" applyAlignment="1">
      <x:alignment horizontal="left" vertical="top" wrapText="1"/>
    </x:xf>
    <x:xf numFmtId="201" fontId="6" fillId="0" borderId="3" xfId="0" applyNumberFormat="1" applyFont="1" applyFill="1" applyBorder="1" applyAlignment="1">
      <x:alignment horizontal="center" vertical="top" wrapText="1"/>
    </x:xf>
    <x:xf numFmtId="201" fontId="6" fillId="0" borderId="4" xfId="0" applyNumberFormat="1" applyFont="1" applyFill="1" applyBorder="1" applyAlignment="1">
      <x:alignment horizontal="center" vertical="top" wrapText="1"/>
    </x:xf>
    <x:xf numFmtId="201" fontId="6" fillId="0" borderId="5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horizontal="left" vertical="top" wrapText="1"/>
    </x:xf>
    <x:xf numFmtId="0" fontId="6" fillId="5" borderId="4" xfId="0" applyNumberFormat="1" applyFont="1" applyFill="1" applyBorder="1" applyAlignment="1">
      <x:alignment horizontal="left" vertical="top" wrapText="1"/>
    </x:xf>
    <x:xf numFmtId="0" fontId="6" fillId="5" borderId="5" xfId="0" applyNumberFormat="1" applyFont="1" applyFill="1" applyBorder="1" applyAlignment="1">
      <x:alignment horizontal="left" vertical="top" wrapText="1"/>
    </x:xf>
    <x:xf numFmtId="0" fontId="7" fillId="5" borderId="3" xfId="0" applyNumberFormat="1" applyFont="1" applyFill="1" applyBorder="1" applyAlignment="1">
      <x:alignment horizontal="left" vertical="top" wrapText="1"/>
    </x:xf>
    <x:xf numFmtId="0" fontId="7" fillId="5" borderId="4" xfId="0" applyNumberFormat="1" applyFont="1" applyFill="1" applyBorder="1" applyAlignment="1">
      <x:alignment horizontal="left" vertical="top" wrapText="1"/>
    </x:xf>
    <x:xf numFmtId="0" fontId="7" fillId="5" borderId="5" xfId="0" applyNumberFormat="1" applyFont="1" applyFill="1" applyBorder="1" applyAlignment="1">
      <x:alignment horizontal="left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4" xfId="0" applyNumberFormat="1" applyFont="1" applyFill="1" applyBorder="1" applyAlignment="1">
      <x:alignment horizontal="center" vertical="top" wrapText="1"/>
    </x:xf>
    <x:xf numFmtId="0" fontId="7" fillId="5" borderId="5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horizontal="left" vertical="top" wrapText="1"/>
    </x:xf>
    <x:xf numFmtId="0" fontId="10" fillId="0" borderId="4" xfId="0" applyNumberFormat="1" applyFont="1" applyFill="1" applyBorder="1" applyAlignment="1">
      <x:alignment horizontal="left" vertical="top" wrapText="1"/>
    </x:xf>
    <x:xf numFmtId="0" fontId="10" fillId="0" borderId="5" xfId="0" applyNumberFormat="1" applyFont="1" applyFill="1" applyBorder="1" applyAlignment="1">
      <x:alignment horizontal="left" vertical="top" wrapText="1"/>
    </x:xf>
    <x:xf numFmtId="0" fontId="6" fillId="3" borderId="3" xfId="0" applyNumberFormat="1" applyFont="1" applyFill="1" applyBorder="1" applyAlignment="1">
      <x:alignment horizontal="left" vertical="top" wrapText="1"/>
    </x:xf>
    <x:xf numFmtId="0" fontId="6" fillId="3" borderId="4" xfId="0" applyNumberFormat="1" applyFont="1" applyFill="1" applyBorder="1" applyAlignment="1">
      <x:alignment horizontal="left" vertical="top" wrapText="1"/>
    </x:xf>
    <x:xf numFmtId="0" fontId="6" fillId="3" borderId="5" xfId="0" applyNumberFormat="1" applyFont="1" applyFill="1" applyBorder="1" applyAlignment="1">
      <x:alignment horizontal="left" vertical="top" wrapText="1"/>
    </x:xf>
    <x:xf numFmtId="0" fontId="11" fillId="3" borderId="3" xfId="0" applyNumberFormat="1" applyFont="1" applyFill="1" applyBorder="1" applyAlignment="1">
      <x:alignment horizontal="left" vertical="top" wrapText="1"/>
    </x:xf>
    <x:xf numFmtId="0" fontId="11" fillId="3" borderId="4" xfId="0" applyNumberFormat="1" applyFont="1" applyFill="1" applyBorder="1" applyAlignment="1">
      <x:alignment horizontal="left" vertical="top" wrapText="1"/>
    </x:xf>
    <x:xf numFmtId="0" fontId="11" fillId="3" borderId="5" xfId="0" applyNumberFormat="1" applyFont="1" applyFill="1" applyBorder="1" applyAlignment="1">
      <x:alignment horizontal="left" vertical="top" wrapText="1"/>
    </x:xf>
    <x:xf numFmtId="0" fontId="11" fillId="3" borderId="3" xfId="0" applyNumberFormat="1" applyFont="1" applyFill="1" applyBorder="1" applyAlignment="1">
      <x:alignment horizontal="center" vertical="top" wrapText="1"/>
    </x:xf>
    <x:xf numFmtId="0" fontId="11" fillId="3" borderId="4" xfId="0" applyNumberFormat="1" applyFont="1" applyFill="1" applyBorder="1" applyAlignment="1">
      <x:alignment horizontal="center" vertical="top" wrapText="1"/>
    </x:xf>
    <x:xf numFmtId="0" fontId="11" fillId="3" borderId="5" xfId="0" applyNumberFormat="1" applyFont="1" applyFill="1" applyBorder="1" applyAlignment="1">
      <x:alignment horizontal="center" vertical="top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11" fillId="3" borderId="4" xfId="0" applyNumberFormat="1" applyFont="1" applyFill="1" applyBorder="1" applyAlignment="1">
      <x:alignment horizontal="center" vertical="center" wrapText="1"/>
    </x:xf>
    <x:xf numFmtId="0" fontId="11" fillId="3" borderId="5" xfId="0" applyNumberFormat="1" applyFont="1" applyFill="1" applyBorder="1" applyAlignment="1">
      <x:alignment horizontal="center" vertical="center" wrapText="1"/>
    </x:xf>
    <x:xf numFmtId="202" fontId="6" fillId="0" borderId="3" xfId="0" applyNumberFormat="1" applyFont="1" applyFill="1" applyBorder="1" applyAlignment="1">
      <x:alignment horizontal="left" vertical="top" wrapText="1"/>
    </x:xf>
    <x:xf numFmtId="202" fontId="6" fillId="0" borderId="4" xfId="0" applyNumberFormat="1" applyFont="1" applyFill="1" applyBorder="1" applyAlignment="1">
      <x:alignment horizontal="left" vertical="top" wrapText="1"/>
    </x:xf>
    <x:xf numFmtId="202" fontId="6" fillId="0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48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245B7A"/>
      </x:font>
      <x:fill>
        <x:patternFill patternType="solid">
          <x:bgColor rgb="FFD9EA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65cb0a30f4dda" /><Relationship Type="http://schemas.openxmlformats.org/officeDocument/2006/relationships/theme" Target="/xl/theme/theme1.xml" Id="Rdaaf3689a4ba4e83" /><Relationship Type="http://schemas.openxmlformats.org/officeDocument/2006/relationships/sharedStrings" Target="/xl/sharedStrings.xml" Id="R18b5626704374a50" /><Relationship Type="http://schemas.openxmlformats.org/officeDocument/2006/relationships/worksheet" Target="/xl/worksheets/sheet1.xml" Id="R53441cc6e71a4fd7" /><Relationship Type="http://schemas.openxmlformats.org/officeDocument/2006/relationships/worksheet" Target="/xl/worksheets/sheet2.xml" Id="Reb6c0fbb6c8e4a1f" /><Relationship Type="http://schemas.openxmlformats.org/officeDocument/2006/relationships/worksheet" Target="/xl/worksheets/sheet3.xml" Id="R24714bb495f04a00" /><Relationship Type="http://schemas.openxmlformats.org/officeDocument/2006/relationships/worksheet" Target="/xl/worksheets/sheet4.xml" Id="R7a4f1af50082406d" /><Relationship Type="http://schemas.openxmlformats.org/officeDocument/2006/relationships/worksheet" Target="/xl/worksheets/sheet5.xml" Id="R6ca1a995ef814c94" /><Relationship Type="http://schemas.openxmlformats.org/officeDocument/2006/relationships/worksheet" Target="/xl/worksheets/sheet6.xml" Id="Re7c0d30e762b4f0a" /><Relationship Type="http://schemas.openxmlformats.org/officeDocument/2006/relationships/worksheet" Target="/xl/worksheets/sheet7.xml" Id="Rc1420d2ec82a4085" /><Relationship Type="http://schemas.openxmlformats.org/officeDocument/2006/relationships/worksheet" Target="/xl/worksheets/sheet8.xml" Id="Raa96d1f2eb00410c" /><Relationship Type="http://schemas.openxmlformats.org/officeDocument/2006/relationships/worksheet" Target="/xl/worksheets/sheet9.xml" Id="R5f47eb407f21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5" hidden="0" customWidth="1"/>
    <x:col min="3" max="3" width="12.220000267028809" hidden="0" customWidth="1"/>
    <x:col min="4" max="4" width="15" hidden="0" customWidth="1"/>
    <x:col min="5" max="5" width="12.220000267028809" hidden="0" customWidth="1"/>
    <x:col min="6" max="6" width="15" hidden="0" customWidth="1"/>
    <x:col min="7" max="7" width="12.220000267028809" hidden="0" customWidth="1"/>
    <x:col min="8" max="8" width="19.440000534057617" hidden="0" customWidth="1"/>
  </x:cols>
  <x:sheetData>
    <x:row r="1" ht="25.5" customHeight="1">
      <x:c r="A1" s="3" t="str">
        <x:v>Ghar Sajag — P0 Engineering Progress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Evidence-backed status as of 2026-09-08. Green means the named checkpoint passed; it does not mean the physical product or pilot is complete.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P0 requirements</x:v>
      </x:c>
      <x:c r="B4" s="11"/>
      <x:c r="C4" s="11" t="str">
        <x:v>Logical modules</x:v>
      </x:c>
      <x:c r="D4" s="11"/>
      <x:c r="E4" s="11" t="str">
        <x:v>Host-verified modules</x:v>
      </x:c>
      <x:c r="F4" s="11"/>
      <x:c r="G4" s="11" t="str">
        <x:v>Pilot-complete modules</x:v>
      </x:c>
      <x:c r="H4" s="11"/>
    </x:row>
    <x:row r="5">
      <x:c r="A5" s="17" t="n">
        <x:f>COUNTA('P0 Requirements'!$A$6:$A$29)</x:f>
        <x:v>24</x:v>
      </x:c>
      <x:c r="B5" s="17"/>
      <x:c r="C5" s="17" t="n">
        <x:f>COUNTA('Module Status'!$A$6:$A$37)</x:f>
        <x:v>32</x:v>
      </x:c>
      <x:c r="D5" s="17"/>
      <x:c r="E5" s="17" t="n">
        <x:f>COUNTIF('Module Status'!$G$6:$G$37,"Passed")</x:f>
        <x:v>30</x:v>
      </x:c>
      <x:c r="F5" s="17"/>
      <x:c r="G5" s="17" t="n">
        <x:f>COUNTIF('Module Status'!$J$6:$J$37,"Complete")</x:f>
        <x:v>0</x:v>
      </x:c>
      <x:c r="H5" s="17"/>
    </x:row>
    <x:row r="6">
      <x:c r="A6" s="18"/>
      <x:c r="B6" s="18"/>
      <x:c r="C6" s="18"/>
      <x:c r="D6" s="18"/>
      <x:c r="E6" s="18"/>
      <x:c r="F6" s="18"/>
      <x:c r="G6" s="18"/>
      <x:c r="H6" s="18"/>
    </x:row>
    <x:row r="8" ht="18" customHeight="1">
      <x:c r="A8" s="20" t="str">
        <x:v>Completion by checkpoint phase</x:v>
      </x:c>
      <x:c r="B8" s="20"/>
      <x:c r="C8" s="20"/>
      <x:c r="D8" s="20"/>
      <x:c r="E8" s="20"/>
      <x:c r="F8" s="20"/>
      <x:c r="G8" s="20"/>
      <x:c r="H8" s="20"/>
    </x:row>
    <x:row r="9" ht="30" customHeight="1">
      <x:c r="A9" s="25" t="str">
        <x:v>Phase</x:v>
      </x:c>
      <x:c r="B9" s="25" t="str">
        <x:v>Scope</x:v>
      </x:c>
      <x:c r="C9" s="25" t="str">
        <x:v>Complete / passed</x:v>
      </x:c>
      <x:c r="D9" s="25" t="str">
        <x:v>Partial</x:v>
      </x:c>
      <x:c r="E9" s="25" t="str">
        <x:v>Pending</x:v>
      </x:c>
      <x:c r="F9" s="25" t="str">
        <x:v>Completion</x:v>
      </x:c>
      <x:c r="G9" s="25" t="str">
        <x:v>Status</x:v>
      </x:c>
      <x:c r="H9" s="25" t="str">
        <x:v>What the number means</x:v>
      </x:c>
    </x:row>
    <x:row r="10" ht="34.5" customHeight="1">
      <x:c r="A10" s="36" t="str">
        <x:v>Design</x:v>
      </x:c>
      <x:c r="B10" s="42" t="n">
        <x:v>64</x:v>
      </x:c>
      <x:c r="C10" s="42" t="n">
        <x:f>COUNTIF('Module Status'!$D$6:$E$37,"Complete")</x:f>
        <x:v>64</x:v>
      </x:c>
      <x:c r="D10" s="42" t="n">
        <x:f>COUNTIF('Module Status'!$D$6:$E$37,"Partial")</x:f>
        <x:v>0</x:v>
      </x:c>
      <x:c r="E10" s="42" t="n">
        <x:f>COUNTIF('Module Status'!$D$6:$E$37,"Pending")+COUNTIF('Module Status'!$D$6:$E$37,"Not Started")</x:f>
        <x:v>0</x:v>
      </x:c>
      <x:c r="F10" s="48" t="n">
        <x:f>C10/B10</x:f>
        <x:v>1</x:v>
      </x:c>
      <x:c r="G10" s="60" t="str">
        <x:f>IF(C10=B10,"Complete",IF(C10+D10&gt;0,"In Progress","Not Started"))</x:f>
        <x:v>Complete</x:v>
      </x:c>
      <x:c r="H10" s="36" t="str">
        <x:v>HLD and LLD checkpoints across 32 modules</x:v>
      </x:c>
    </x:row>
    <x:row r="11" ht="34.5" customHeight="1">
      <x:c r="A11" s="37" t="str">
        <x:v>Host baseline</x:v>
      </x:c>
      <x:c r="B11" s="43" t="n">
        <x:v>64</x:v>
      </x:c>
      <x:c r="C11" s="43" t="n">
        <x:f>COUNTIF('Module Status'!$F$6:$G$37,"Complete")+COUNTIF('Module Status'!$F$6:$G$37,"Passed")</x:f>
        <x:v>60</x:v>
      </x:c>
      <x:c r="D11" s="43" t="n">
        <x:f>COUNTIF('Module Status'!$F$6:$G$37,"Partial")</x:f>
        <x:v>4</x:v>
      </x:c>
      <x:c r="E11" s="43" t="n">
        <x:f>COUNTIF('Module Status'!$F$6:$G$37,"Pending")+COUNTIF('Module Status'!$F$6:$G$37,"Not Started")</x:f>
        <x:v>0</x:v>
      </x:c>
      <x:c r="F11" s="49" t="n">
        <x:f>C11/B11</x:f>
        <x:v>0.9375</x:v>
      </x:c>
      <x:c r="G11" s="61" t="str">
        <x:f>IF(C11=B11,"Complete",IF(C11+D11&gt;0,"In Progress","Not Started"))</x:f>
        <x:v>In Progress</x:v>
      </x:c>
      <x:c r="H11" s="37" t="str">
        <x:v>Host code plus host verification checkpoints</x:v>
      </x:c>
    </x:row>
    <x:row r="12" ht="34.5" customHeight="1">
      <x:c r="A12" s="37" t="str">
        <x:v>Target integration</x:v>
      </x:c>
      <x:c r="B12" s="43" t="n">
        <x:v>32</x:v>
      </x:c>
      <x:c r="C12" s="43" t="n">
        <x:f>COUNTIF('Module Status'!$H$6:$H$37,"Complete")+COUNTIF('Module Status'!$H$6:$H$37,"Passed")</x:f>
        <x:v>0</x:v>
      </x:c>
      <x:c r="D12" s="43" t="n">
        <x:f>COUNTIF('Module Status'!$H$6:$H$37,"Partial")+COUNTIF('Module Status'!$H$6:$H$37,"In Progress")</x:f>
        <x:v>0</x:v>
      </x:c>
      <x:c r="E12" s="43" t="n">
        <x:f>COUNTIF('Module Status'!$H$6:$H$37,"Pending")+COUNTIF('Module Status'!$H$6:$H$37,"Not Started")</x:f>
        <x:v>32</x:v>
      </x:c>
      <x:c r="F12" s="49" t="n">
        <x:f>C12/B12</x:f>
        <x:v>0</x:v>
      </x:c>
      <x:c r="G12" s="61" t="str">
        <x:f>IF(C12=B12,"Complete",IF(C12+D12&gt;0,"In Progress","Not Started"))</x:f>
        <x:v>Not Started</x:v>
      </x:c>
      <x:c r="H12" s="37" t="str">
        <x:v>ESP-IDF hardware or production provider/database integration</x:v>
      </x:c>
    </x:row>
    <x:row r="13" ht="34.5" customHeight="1">
      <x:c r="A13" s="38" t="str">
        <x:v>Field / E2E</x:v>
      </x:c>
      <x:c r="B13" s="44" t="n">
        <x:v>32</x:v>
      </x:c>
      <x:c r="C13" s="44" t="n">
        <x:f>COUNTIF('Module Status'!$I$6:$I$37,"Complete")+COUNTIF('Module Status'!$I$6:$I$37,"Passed")</x:f>
        <x:v>0</x:v>
      </x:c>
      <x:c r="D13" s="44" t="n">
        <x:f>COUNTIF('Module Status'!$I$6:$I$37,"Partial")+COUNTIF('Module Status'!$I$6:$I$37,"In Progress")</x:f>
        <x:v>0</x:v>
      </x:c>
      <x:c r="E13" s="44" t="n">
        <x:f>COUNTIF('Module Status'!$I$6:$I$37,"Pending")+COUNTIF('Module Status'!$I$6:$I$37,"Not Started")</x:f>
        <x:v>32</x:v>
      </x:c>
      <x:c r="F13" s="50" t="n">
        <x:f>C13/B13</x:f>
        <x:v>0</x:v>
      </x:c>
      <x:c r="G13" s="62" t="str">
        <x:f>IF(C13=B13,"Complete",IF(C13+D13&gt;0,"In Progress","Not Started"))</x:f>
        <x:v>Not Started</x:v>
      </x:c>
      <x:c r="H13" s="38" t="str">
        <x:v>Real devices, phones, outages and installed-home evidence</x:v>
      </x:c>
    </x:row>
    <x:row r="15" ht="18" customHeight="1">
      <x:c r="A15" s="20" t="str">
        <x:v>Current conclusion</x:v>
      </x:c>
      <x:c r="B15" s="20"/>
      <x:c r="C15" s="20"/>
      <x:c r="D15" s="20"/>
      <x:c r="E15" s="20"/>
      <x:c r="F15" s="20"/>
      <x:c r="G15" s="20"/>
      <x:c r="H15" s="20"/>
    </x:row>
    <x:row r="16">
      <x:c r="A16" s="65" t="str">
        <x:v>The architecture is implemented beyond paper: every module has host-executable logic or an explicit adapter seam, and the host suite is green. The system is still not a working physical prototype, pilot-ready product, or commercial release. The next gate is one real PIR → ESP32-C3 → ESP-NOW → hub journal → local dashboard vertical slice.</x:v>
      </x:c>
      <x:c r="B16" s="65"/>
      <x:c r="C16" s="65"/>
      <x:c r="D16" s="65"/>
      <x:c r="E16" s="65"/>
      <x:c r="F16" s="65"/>
      <x:c r="G16" s="65"/>
      <x:c r="H16" s="65"/>
    </x:row>
    <x:row r="17">
      <x:c r="A17" s="65"/>
      <x:c r="B17" s="65"/>
      <x:c r="C17" s="65"/>
      <x:c r="D17" s="65"/>
      <x:c r="E17" s="65"/>
      <x:c r="F17" s="65"/>
      <x:c r="G17" s="65"/>
      <x:c r="H17" s="65"/>
    </x:row>
    <x:row r="18">
      <x:c r="A18" s="65"/>
      <x:c r="B18" s="65"/>
      <x:c r="C18" s="65"/>
      <x:c r="D18" s="65"/>
      <x:c r="E18" s="65"/>
      <x:c r="F18" s="65"/>
      <x:c r="G18" s="65"/>
      <x:c r="H18" s="65"/>
    </x:row>
    <x:row r="20" ht="18" customHeight="1">
      <x:c r="A20" s="20" t="str">
        <x:v>Next ordered gates</x:v>
      </x:c>
      <x:c r="B20" s="20"/>
      <x:c r="C20" s="20"/>
      <x:c r="D20" s="20"/>
      <x:c r="E20" s="20"/>
      <x:c r="F20" s="20"/>
      <x:c r="G20" s="20"/>
      <x:c r="H20" s="20"/>
    </x:row>
    <x:row r="21" ht="30" customHeight="1">
      <x:c r="A21" s="25" t="str">
        <x:v>Priority</x:v>
      </x:c>
      <x:c r="B21" s="25" t="str">
        <x:v>Gate</x:v>
      </x:c>
      <x:c r="C21" s="25" t="str">
        <x:v>Status</x:v>
      </x:c>
      <x:c r="D21" s="25" t="str">
        <x:v>Exit evidence</x:v>
      </x:c>
      <x:c r="E21" s="25" t="str">
        <x:v>Priority</x:v>
      </x:c>
      <x:c r="F21" s="25" t="str">
        <x:v>Gate</x:v>
      </x:c>
      <x:c r="G21" s="25" t="str">
        <x:v>Status</x:v>
      </x:c>
      <x:c r="H21" s="25" t="str">
        <x:v>Exit evidence</x:v>
      </x:c>
    </x:row>
    <x:row r="22" ht="43.5" customHeight="1">
      <x:c r="A22" s="36" t="n">
        <x:v>1</x:v>
      </x:c>
      <x:c r="B22" s="36" t="str">
        <x:v>ESP-IDF skeleton + board profiles</x:v>
      </x:c>
      <x:c r="C22" s="60" t="str">
        <x:v>Not Started</x:v>
      </x:c>
      <x:c r="D22" s="36" t="str">
        <x:v>C3 and hub compile, flash and report boot/version</x:v>
      </x:c>
      <x:c r="E22" s="36" t="n">
        <x:v>2</x:v>
      </x:c>
      <x:c r="F22" s="36" t="str">
        <x:v>One PIR vertical slice</x:v>
      </x:c>
      <x:c r="G22" s="60" t="str">
        <x:v>Not Started</x:v>
      </x:c>
      <x:c r="H22" s="36" t="str">
        <x:v>One event appears once with original time</x:v>
      </x:c>
    </x:row>
    <x:row r="23" ht="43.5" customHeight="1">
      <x:c r="A23" s="38" t="n">
        <x:v>3</x:v>
      </x:c>
      <x:c r="B23" s="38" t="str">
        <x:v>Local routine + resident controls</x:v>
      </x:c>
      <x:c r="C23" s="62" t="str">
        <x:v>Not Started</x:v>
      </x:c>
      <x:c r="D23" s="38" t="str">
        <x:v>Online/offline/privacy/away flows pass</x:v>
      </x:c>
      <x:c r="E23" s="38" t="n">
        <x:v>4</x:v>
      </x:c>
      <x:c r="F23" s="38" t="str">
        <x:v>Production caregiver path</x:v>
      </x:c>
      <x:c r="G23" s="62" t="str">
        <x:v>Not Started</x:v>
      </x:c>
      <x:c r="H23" s="38" t="str">
        <x:v>Primary/backup phones pass TEST workflow</x:v>
      </x:c>
    </x:row>
    <x:row r="25" ht="18" customHeight="1">
      <x:c r="A25" s="20" t="str">
        <x:v>Status legend</x:v>
      </x:c>
      <x:c r="B25" s="20"/>
      <x:c r="C25" s="20"/>
      <x:c r="D25" s="20"/>
      <x:c r="E25" s="20"/>
      <x:c r="F25" s="20"/>
      <x:c r="G25" s="20"/>
      <x:c r="H25" s="20"/>
    </x:row>
    <x:row r="26" ht="39" customHeight="1">
      <x:c r="A26" s="60" t="str">
        <x:v>Complete</x:v>
      </x:c>
      <x:c r="B26" s="36" t="str">
        <x:v>Named deliverable exists</x:v>
      </x:c>
      <x:c r="C26" s="60" t="str">
        <x:v>Passed</x:v>
      </x:c>
      <x:c r="D26" s="36" t="str">
        <x:v>Named test passed</x:v>
      </x:c>
      <x:c r="E26" s="60" t="str">
        <x:v>Partial</x:v>
      </x:c>
      <x:c r="F26" s="36" t="str">
        <x:v>Scaffold/seam exists</x:v>
      </x:c>
      <x:c r="G26" s="60" t="str">
        <x:v>Not Started</x:v>
      </x:c>
      <x:c r="H26" s="36" t="str">
        <x:v>No target evidence yet</x:v>
      </x:c>
    </x:row>
    <x:row r="27" ht="39" customHeight="1">
      <x:c r="A27" s="62" t="str">
        <x:v>Pending</x:v>
      </x:c>
      <x:c r="B27" s="38" t="str">
        <x:v>Target gate not run</x:v>
      </x:c>
      <x:c r="C27" s="62" t="str">
        <x:v>In Progress</x:v>
      </x:c>
      <x:c r="D27" s="38" t="str">
        <x:v>Some checkpoints remain</x:v>
      </x:c>
      <x:c r="E27" s="62" t="str">
        <x:v>Blocked</x:v>
      </x:c>
      <x:c r="F27" s="38" t="str">
        <x:v>Cannot proceed</x:v>
      </x:c>
      <x:c r="G27" s="62" t="str">
        <x:v>Failed</x:v>
      </x:c>
      <x:c r="H27" s="38" t="str">
        <x:v>Named check did not pass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5:H15"/>
    <x:mergeCell ref="A16:H18"/>
    <x:mergeCell ref="A20:H20"/>
    <x:mergeCell ref="A25:H25"/>
  </x:mergeCells>
  <x:conditionalFormatting sqref="G10:G13">
    <x:cfRule type="containsText" dxfId="0" priority="1" operator="containsText" text="Complete"/>
    <x:cfRule type="containsText" dxfId="1" priority="2" operator="containsText" text="Passed"/>
    <x:cfRule type="containsText" dxfId="2" priority="3" operator="containsText" text="Partial"/>
    <x:cfRule type="containsText" dxfId="3" priority="4" operator="containsText" text="In Progress"/>
    <x:cfRule type="containsText" dxfId="4" priority="5" operator="containsText" text="Pending"/>
    <x:cfRule type="containsText" dxfId="5" priority="6" operator="containsText" text="Not Started"/>
    <x:cfRule type="containsText" dxfId="6" priority="7" operator="containsText" text="Blocked"/>
    <x:cfRule type="containsText" dxfId="7" priority="8" operator="containsText" text="Failed"/>
  </x:conditionalFormatting>
  <x:conditionalFormatting sqref="C22:C23">
    <x:cfRule type="containsText" dxfId="8" priority="9" operator="containsText" text="Complete"/>
    <x:cfRule type="containsText" dxfId="9" priority="10" operator="containsText" text="Passed"/>
    <x:cfRule type="containsText" dxfId="10" priority="11" operator="containsText" text="Partial"/>
    <x:cfRule type="containsText" dxfId="11" priority="12" operator="containsText" text="In Progress"/>
    <x:cfRule type="containsText" dxfId="12" priority="13" operator="containsText" text="Pending"/>
    <x:cfRule type="containsText" dxfId="13" priority="14" operator="containsText" text="Not Started"/>
    <x:cfRule type="containsText" dxfId="14" priority="15" operator="containsText" text="Blocked"/>
    <x:cfRule type="containsText" dxfId="15" priority="16" operator="containsText" text="Failed"/>
  </x:conditionalFormatting>
  <x:conditionalFormatting sqref="G22:G23">
    <x:cfRule type="containsText" dxfId="16" priority="17" operator="containsText" text="Complete"/>
    <x:cfRule type="containsText" dxfId="17" priority="18" operator="containsText" text="Passed"/>
    <x:cfRule type="containsText" dxfId="18" priority="19" operator="containsText" text="Partial"/>
    <x:cfRule type="containsText" dxfId="19" priority="20" operator="containsText" text="In Progress"/>
    <x:cfRule type="containsText" dxfId="20" priority="21" operator="containsText" text="Pending"/>
    <x:cfRule type="containsText" dxfId="21" priority="22" operator="containsText" text="Not Started"/>
    <x:cfRule type="containsText" dxfId="22" priority="23" operator="containsText" text="Blocked"/>
    <x:cfRule type="containsText" dxfId="23" priority="24" operator="containsText" text="Failed"/>
  </x:conditionalFormatting>
  <x:conditionalFormatting sqref="A26:A26">
    <x:cfRule type="containsText" dxfId="24" priority="25" operator="containsText" text="Complete"/>
    <x:cfRule type="containsText" dxfId="25" priority="26" operator="containsText" text="Passed"/>
    <x:cfRule type="containsText" dxfId="26" priority="27" operator="containsText" text="Partial"/>
    <x:cfRule type="containsText" dxfId="27" priority="28" operator="containsText" text="In Progress"/>
    <x:cfRule type="containsText" dxfId="28" priority="29" operator="containsText" text="Pending"/>
    <x:cfRule type="containsText" dxfId="29" priority="30" operator="containsText" text="Not Started"/>
    <x:cfRule type="containsText" dxfId="30" priority="31" operator="containsText" text="Blocked"/>
    <x:cfRule type="containsText" dxfId="31" priority="32" operator="containsText" text="Failed"/>
  </x:conditionalFormatting>
  <x:conditionalFormatting sqref="C26:C26">
    <x:cfRule type="containsText" dxfId="32" priority="33" operator="containsText" text="Complete"/>
    <x:cfRule type="containsText" dxfId="33" priority="34" operator="containsText" text="Passed"/>
    <x:cfRule type="containsText" dxfId="34" priority="35" operator="containsText" text="Partial"/>
    <x:cfRule type="containsText" dxfId="35" priority="36" operator="containsText" text="In Progress"/>
    <x:cfRule type="containsText" dxfId="36" priority="37" operator="containsText" text="Pending"/>
    <x:cfRule type="containsText" dxfId="37" priority="38" operator="containsText" text="Not Started"/>
    <x:cfRule type="containsText" dxfId="38" priority="39" operator="containsText" text="Blocked"/>
    <x:cfRule type="containsText" dxfId="39" priority="40" operator="containsText" text="Failed"/>
  </x:conditionalFormatting>
  <x:conditionalFormatting sqref="E26:E26">
    <x:cfRule type="containsText" dxfId="40" priority="41" operator="containsText" text="Complete"/>
    <x:cfRule type="containsText" dxfId="41" priority="42" operator="containsText" text="Passed"/>
    <x:cfRule type="containsText" dxfId="42" priority="43" operator="containsText" text="Partial"/>
    <x:cfRule type="containsText" dxfId="43" priority="44" operator="containsText" text="In Progress"/>
    <x:cfRule type="containsText" dxfId="44" priority="45" operator="containsText" text="Pending"/>
    <x:cfRule type="containsText" dxfId="45" priority="46" operator="containsText" text="Not Started"/>
    <x:cfRule type="containsText" dxfId="46" priority="47" operator="containsText" text="Blocked"/>
    <x:cfRule type="containsText" dxfId="47" priority="48" operator="containsText" text="Failed"/>
  </x:conditionalFormatting>
  <x:conditionalFormatting sqref="G26:G26">
    <x:cfRule type="containsText" dxfId="48" priority="49" operator="containsText" text="Complete"/>
    <x:cfRule type="containsText" dxfId="49" priority="50" operator="containsText" text="Passed"/>
    <x:cfRule type="containsText" dxfId="50" priority="51" operator="containsText" text="Partial"/>
    <x:cfRule type="containsText" dxfId="51" priority="52" operator="containsText" text="In Progress"/>
    <x:cfRule type="containsText" dxfId="52" priority="53" operator="containsText" text="Pending"/>
    <x:cfRule type="containsText" dxfId="53" priority="54" operator="containsText" text="Not Started"/>
    <x:cfRule type="containsText" dxfId="54" priority="55" operator="containsText" text="Blocked"/>
    <x:cfRule type="containsText" dxfId="55" priority="56" operator="containsText" text="Failed"/>
  </x:conditionalFormatting>
  <x:conditionalFormatting sqref="A27:A27">
    <x:cfRule type="containsText" dxfId="56" priority="57" operator="containsText" text="Complete"/>
    <x:cfRule type="containsText" dxfId="57" priority="58" operator="containsText" text="Passed"/>
    <x:cfRule type="containsText" dxfId="58" priority="59" operator="containsText" text="Partial"/>
    <x:cfRule type="containsText" dxfId="59" priority="60" operator="containsText" text="In Progress"/>
    <x:cfRule type="containsText" dxfId="60" priority="61" operator="containsText" text="Pending"/>
    <x:cfRule type="containsText" dxfId="61" priority="62" operator="containsText" text="Not Started"/>
    <x:cfRule type="containsText" dxfId="62" priority="63" operator="containsText" text="Blocked"/>
    <x:cfRule type="containsText" dxfId="63" priority="64" operator="containsText" text="Failed"/>
  </x:conditionalFormatting>
  <x:conditionalFormatting sqref="C27:C27">
    <x:cfRule type="containsText" dxfId="64" priority="65" operator="containsText" text="Complete"/>
    <x:cfRule type="containsText" dxfId="65" priority="66" operator="containsText" text="Passed"/>
    <x:cfRule type="containsText" dxfId="66" priority="67" operator="containsText" text="Partial"/>
    <x:cfRule type="containsText" dxfId="67" priority="68" operator="containsText" text="In Progress"/>
    <x:cfRule type="containsText" dxfId="68" priority="69" operator="containsText" text="Pending"/>
    <x:cfRule type="containsText" dxfId="69" priority="70" operator="containsText" text="Not Started"/>
    <x:cfRule type="containsText" dxfId="70" priority="71" operator="containsText" text="Blocked"/>
    <x:cfRule type="containsText" dxfId="71" priority="72" operator="containsText" text="Failed"/>
  </x:conditionalFormatting>
  <x:conditionalFormatting sqref="E27:E27">
    <x:cfRule type="containsText" dxfId="72" priority="73" operator="containsText" text="Complete"/>
    <x:cfRule type="containsText" dxfId="73" priority="74" operator="containsText" text="Passed"/>
    <x:cfRule type="containsText" dxfId="74" priority="75" operator="containsText" text="Partial"/>
    <x:cfRule type="containsText" dxfId="75" priority="76" operator="containsText" text="In Progress"/>
    <x:cfRule type="containsText" dxfId="76" priority="77" operator="containsText" text="Pending"/>
    <x:cfRule type="containsText" dxfId="77" priority="78" operator="containsText" text="Not Started"/>
    <x:cfRule type="containsText" dxfId="78" priority="79" operator="containsText" text="Blocked"/>
    <x:cfRule type="containsText" dxfId="79" priority="80" operator="containsText" text="Failed"/>
  </x:conditionalFormatting>
  <x:conditionalFormatting sqref="G27:G27">
    <x:cfRule type="containsText" dxfId="80" priority="81" operator="containsText" text="Complete"/>
    <x:cfRule type="containsText" dxfId="81" priority="82" operator="containsText" text="Passed"/>
    <x:cfRule type="containsText" dxfId="82" priority="83" operator="containsText" text="Partial"/>
    <x:cfRule type="containsText" dxfId="83" priority="84" operator="containsText" text="In Progress"/>
    <x:cfRule type="containsText" dxfId="84" priority="85" operator="containsText" text="Pending"/>
    <x:cfRule type="containsText" dxfId="85" priority="86" operator="containsText" text="Not Started"/>
    <x:cfRule type="containsText" dxfId="86" priority="87" operator="containsText" text="Blocked"/>
    <x:cfRule type="containsText" dxfId="87" priority="88" operator="containsText" text="Failed"/>
  </x:conditionalFormatting>
  <x:dataValidations count="2">
    <x:dataValidation type="list" sqref="C22:C23">
      <x:formula1>"Complete,Passed,Partial,In Progress,Pending,Not Started,Blocked,Failed"</x:formula1>
    </x:dataValidation>
    <x:dataValidation type="list" sqref="G22:G23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27.219999313354492" hidden="0" customWidth="1"/>
    <x:col min="3" max="3" width="22.780000686645508" hidden="0" customWidth="1"/>
    <x:col min="4" max="4" width="8.670000076293945" hidden="0" customWidth="1"/>
    <x:col min="5" max="5" width="8.670000076293945" hidden="0" customWidth="1"/>
    <x:col min="6" max="6" width="11.109999656677246" hidden="0" customWidth="1"/>
    <x:col min="7" max="7" width="12.220000267028809" hidden="0" customWidth="1"/>
    <x:col min="8" max="8" width="11.109999656677246" hidden="0" customWidth="1"/>
    <x:col min="9" max="9" width="10.5600004196167" hidden="0" customWidth="1"/>
    <x:col min="10" max="10" width="33.33000183105469" hidden="0" customWidth="1"/>
    <x:col min="11" max="11" width="37.779998779296875" hidden="0" customWidth="1"/>
  </x:cols>
  <x:sheetData>
    <x:row r="1" ht="25.5" customHeight="1">
      <x:c r="A1" s="3" t="str">
        <x:v>P0 Requirement Traceability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.5" customHeight="1">
      <x:c r="A2" s="7" t="str">
        <x:v>All 24 P0 requirements mapped to owning modules and separated into design, host, target-integration and field gates.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67" t="str">
        <x:v>Editable status columns use the shared color legend. Do not mark Overall P0 complete until target and end-to-end evidence exists.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</x:row>
    <x:row r="5" ht="30" customHeight="1">
      <x:c r="A5" s="25" t="str">
        <x:v>ID</x:v>
      </x:c>
      <x:c r="B5" s="25" t="str">
        <x:v>Requirement</x:v>
      </x:c>
      <x:c r="C5" s="25" t="str">
        <x:v>Owner modules</x:v>
      </x:c>
      <x:c r="D5" s="25" t="str">
        <x:v>HLD</x:v>
      </x:c>
      <x:c r="E5" s="25" t="str">
        <x:v>LLD</x:v>
      </x:c>
      <x:c r="F5" s="25" t="str">
        <x:v>Host baseline</x:v>
      </x:c>
      <x:c r="G5" s="25" t="str">
        <x:v>Target integration</x:v>
      </x:c>
      <x:c r="H5" s="25" t="str">
        <x:v>End-to-end</x:v>
      </x:c>
      <x:c r="I5" s="25" t="str">
        <x:v>Overall P0</x:v>
      </x:c>
      <x:c r="J5" s="25" t="str">
        <x:v>Current evidence</x:v>
      </x:c>
      <x:c r="K5" s="25" t="str">
        <x:v>Next exit gate</x:v>
      </x:c>
    </x:row>
    <x:row r="6" ht="58.5" customHeight="1">
      <x:c r="A6" s="68" t="str">
        <x:v>F01</x:v>
      </x:c>
      <x:c r="B6" s="36" t="str">
        <x:v>Household profile and caregiver roles</x:v>
      </x:c>
      <x:c r="C6" s="36" t="str">
        <x:v>B01, B02, A01, S01</x:v>
      </x:c>
      <x:c r="D6" s="60" t="str">
        <x:v>Complete</x:v>
      </x:c>
      <x:c r="E6" s="60" t="str">
        <x:v>Complete</x:v>
      </x:c>
      <x:c r="F6" s="60" t="str">
        <x:v>Complete</x:v>
      </x:c>
      <x:c r="G6" s="60" t="str">
        <x:v>Pending</x:v>
      </x:c>
      <x:c r="H6" s="60" t="str">
        <x:v>Pending</x:v>
      </x:c>
      <x:c r="I6" s="60" t="str">
        <x:v>In Progress</x:v>
      </x:c>
      <x:c r="J6" s="36" t="str">
        <x:v>Mapped host modules implemented and verified where applicable: B01, B02, A01, S01.</x:v>
      </x:c>
      <x:c r="K6" s="36" t="str">
        <x:v>Bind household/roles to durable PostgreSQL + OIDC and test tenant isolation.</x:v>
      </x:c>
    </x:row>
    <x:row r="7" ht="58.5" customHeight="1">
      <x:c r="A7" s="69" t="str">
        <x:v>F02</x:v>
      </x:c>
      <x:c r="B7" s="37" t="str">
        <x:v>Resident consent and privacy controls</x:v>
      </x:c>
      <x:c r="C7" s="37" t="str">
        <x:v>B02, H06, H07, A01, B08</x:v>
      </x:c>
      <x:c r="D7" s="61" t="str">
        <x:v>Complete</x:v>
      </x:c>
      <x:c r="E7" s="61" t="str">
        <x:v>Complete</x:v>
      </x:c>
      <x:c r="F7" s="61" t="str">
        <x:v>Complete</x:v>
      </x:c>
      <x:c r="G7" s="61" t="str">
        <x:v>Pending</x:v>
      </x:c>
      <x:c r="H7" s="61" t="str">
        <x:v>Pending</x:v>
      </x:c>
      <x:c r="I7" s="61" t="str">
        <x:v>In Progress</x:v>
      </x:c>
      <x:c r="J7" s="37" t="str">
        <x:v>Mapped host modules implemented and verified where applicable: B02, H06, H07, A01, B08.</x:v>
      </x:c>
      <x:c r="K7" s="37" t="str">
        <x:v>Bind privacy switch and consent withdrawal end to end; verify resident comprehension.</x:v>
      </x:c>
    </x:row>
    <x:row r="8" ht="58.5" customHeight="1">
      <x:c r="A8" s="69" t="str">
        <x:v>F03</x:v>
      </x:c>
      <x:c r="B8" s="37" t="str">
        <x:v>Kit provisioning and installation verification</x:v>
      </x:c>
      <x:c r="C8" s="37" t="str">
        <x:v>N04, H07, B06, A01, S03, T02</x:v>
      </x:c>
      <x:c r="D8" s="61" t="str">
        <x:v>Complete</x:v>
      </x:c>
      <x:c r="E8" s="61" t="str">
        <x:v>Complete</x:v>
      </x:c>
      <x:c r="F8" s="61" t="str">
        <x:v>Partial</x:v>
      </x:c>
      <x:c r="G8" s="61" t="str">
        <x:v>Pending</x:v>
      </x:c>
      <x:c r="H8" s="61" t="str">
        <x:v>Pending</x:v>
      </x:c>
      <x:c r="I8" s="61" t="str">
        <x:v>In Progress</x:v>
      </x:c>
      <x:c r="J8" s="37" t="str">
        <x:v>Provisioning/install domain gates and HIL plan exist; no board provisioning or installed-kit evidence.</x:v>
      </x:c>
      <x:c r="K8" s="37" t="str">
        <x:v>Compile/flash both boards; perform claim, input, control and TEST-delivery installation checks.</x:v>
      </x:c>
    </x:row>
    <x:row r="9" ht="58.5" customHeight="1">
      <x:c r="A9" s="69" t="str">
        <x:v>F04</x:v>
      </x:c>
      <x:c r="B9" s="37" t="str">
        <x:v>Configurable morning routine</x:v>
      </x:c>
      <x:c r="C9" s="37" t="str">
        <x:v>A03, B06, H07, H03, H05, S02</x:v>
      </x:c>
      <x:c r="D9" s="61" t="str">
        <x:v>Complete</x:v>
      </x:c>
      <x:c r="E9" s="61" t="str">
        <x:v>Complete</x:v>
      </x:c>
      <x:c r="F9" s="61" t="str">
        <x:v>Complete</x:v>
      </x:c>
      <x:c r="G9" s="61" t="str">
        <x:v>Pending</x:v>
      </x:c>
      <x:c r="H9" s="61" t="str">
        <x:v>Pending</x:v>
      </x:c>
      <x:c r="I9" s="61" t="str">
        <x:v>In Progress</x:v>
      </x:c>
      <x:c r="J9" s="37" t="str">
        <x:v>Mapped host modules implemented and verified where applicable: A03, B06, H07, H03, H05, S02.</x:v>
      </x:c>
      <x:c r="K9" s="37" t="str">
        <x:v>Persist configuration, deliver to hub, apply atomically and test timezone/window boundaries.</x:v>
      </x:c>
    </x:row>
    <x:row r="10" ht="58.5" customHeight="1">
      <x:c r="A10" s="69" t="str">
        <x:v>F05</x:v>
      </x:c>
      <x:c r="B10" s="37" t="str">
        <x:v>Morning activity evidence</x:v>
      </x:c>
      <x:c r="C10" s="37" t="str">
        <x:v>N01, H01, H02, H05, S02, B07, A02</x:v>
      </x:c>
      <x:c r="D10" s="61" t="str">
        <x:v>Complete</x:v>
      </x:c>
      <x:c r="E10" s="61" t="str">
        <x:v>Complete</x:v>
      </x:c>
      <x:c r="F10" s="61" t="str">
        <x:v>Complete</x:v>
      </x:c>
      <x:c r="G10" s="61" t="str">
        <x:v>Pending</x:v>
      </x:c>
      <x:c r="H10" s="61" t="str">
        <x:v>Pending</x:v>
      </x:c>
      <x:c r="I10" s="61" t="str">
        <x:v>In Progress</x:v>
      </x:c>
      <x:c r="J10" s="37" t="str">
        <x:v>Mapped host modules implemented and verified where applicable: N01, H01, H02, H05, S02, B07, A02.</x:v>
      </x:c>
      <x:c r="K10" s="37" t="str">
        <x:v>Run AM312 PIR → C3 → ESP-NOW → hub journal → dashboard vertical slice.</x:v>
      </x:c>
    </x:row>
    <x:row r="11" ht="58.5" customHeight="1">
      <x:c r="A11" s="69" t="str">
        <x:v>F06</x:v>
      </x:c>
      <x:c r="B11" s="37" t="str">
        <x:v>Explicit I’m OK check-in</x:v>
      </x:c>
      <x:c r="C11" s="37" t="str">
        <x:v>H06, H02, H05, S02, B07, A02</x:v>
      </x:c>
      <x:c r="D11" s="61" t="str">
        <x:v>Complete</x:v>
      </x:c>
      <x:c r="E11" s="61" t="str">
        <x:v>Complete</x:v>
      </x:c>
      <x:c r="F11" s="61" t="str">
        <x:v>Complete</x:v>
      </x:c>
      <x:c r="G11" s="61" t="str">
        <x:v>Pending</x:v>
      </x:c>
      <x:c r="H11" s="61" t="str">
        <x:v>Pending</x:v>
      </x:c>
      <x:c r="I11" s="61" t="str">
        <x:v>In Progress</x:v>
      </x:c>
      <x:c r="J11" s="37" t="str">
        <x:v>Mapped host modules implemented and verified where applicable: H06, H02, H05, S02, B07, A02.</x:v>
      </x:c>
      <x:c r="K11" s="37" t="str">
        <x:v>Wire I'm OK button and verify saved-local / remotely-accepted feedback while offline and online.</x:v>
      </x:c>
    </x:row>
    <x:row r="12" ht="58.5" customHeight="1">
      <x:c r="A12" s="69" t="str">
        <x:v>F07</x:v>
      </x:c>
      <x:c r="B12" s="37" t="str">
        <x:v>Call family request</x:v>
      </x:c>
      <x:c r="C12" s="37" t="str">
        <x:v>H06, H02, H05, B04, B05, A04</x:v>
      </x:c>
      <x:c r="D12" s="61" t="str">
        <x:v>Complete</x:v>
      </x:c>
      <x:c r="E12" s="61" t="str">
        <x:v>Complete</x:v>
      </x:c>
      <x:c r="F12" s="61" t="str">
        <x:v>Complete</x:v>
      </x:c>
      <x:c r="G12" s="61" t="str">
        <x:v>Pending</x:v>
      </x:c>
      <x:c r="H12" s="61" t="str">
        <x:v>Pending</x:v>
      </x:c>
      <x:c r="I12" s="61" t="str">
        <x:v>In Progress</x:v>
      </x:c>
      <x:c r="J12" s="37" t="str">
        <x:v>Mapped host modules implemented and verified where applicable: H06, H02, H05, B04, B05, A04.</x:v>
      </x:c>
      <x:c r="K12" s="37" t="str">
        <x:v>Wire Call family button and verify durable escalation plus primary/backup phone delivery.</x:v>
      </x:c>
    </x:row>
    <x:row r="13" ht="58.5" customHeight="1">
      <x:c r="A13" s="69" t="str">
        <x:v>F08</x:v>
      </x:c>
      <x:c r="B13" s="37" t="str">
        <x:v>Missing morning activity workflow</x:v>
      </x:c>
      <x:c r="C13" s="37" t="str">
        <x:v>H03, H04, H05, S02, B04, B05</x:v>
      </x:c>
      <x:c r="D13" s="61" t="str">
        <x:v>Complete</x:v>
      </x:c>
      <x:c r="E13" s="61" t="str">
        <x:v>Complete</x:v>
      </x:c>
      <x:c r="F13" s="61" t="str">
        <x:v>Complete</x:v>
      </x:c>
      <x:c r="G13" s="61" t="str">
        <x:v>Pending</x:v>
      </x:c>
      <x:c r="H13" s="61" t="str">
        <x:v>Pending</x:v>
      </x:c>
      <x:c r="I13" s="61" t="str">
        <x:v>In Progress</x:v>
      </x:c>
      <x:c r="J13" s="37" t="str">
        <x:v>Mapped host modules implemented and verified where applicable: H03, H04, H05, S02, B04, B05.</x:v>
      </x:c>
      <x:c r="K13" s="37" t="str">
        <x:v>Run covered, unknown-coverage, privacy, away and missing-activity scenarios on target hardware.</x:v>
      </x:c>
    </x:row>
    <x:row r="14" ht="58.5" customHeight="1">
      <x:c r="A14" s="69" t="str">
        <x:v>F09</x:v>
      </x:c>
      <x:c r="B14" s="37" t="str">
        <x:v>Main-door history and quiet notice</x:v>
      </x:c>
      <x:c r="C14" s="37" t="str">
        <x:v>N01, H05, S02, B07, B05, A02</x:v>
      </x:c>
      <x:c r="D14" s="61" t="str">
        <x:v>Complete</x:v>
      </x:c>
      <x:c r="E14" s="61" t="str">
        <x:v>Complete</x:v>
      </x:c>
      <x:c r="F14" s="61" t="str">
        <x:v>Complete</x:v>
      </x:c>
      <x:c r="G14" s="61" t="str">
        <x:v>Pending</x:v>
      </x:c>
      <x:c r="H14" s="61" t="str">
        <x:v>Pending</x:v>
      </x:c>
      <x:c r="I14" s="61" t="str">
        <x:v>In Progress</x:v>
      </x:c>
      <x:c r="J14" s="37" t="str">
        <x:v>Mapped host modules implemented and verified where applicable: N01, H05, S02, B07, B05, A02.</x:v>
      </x:c>
      <x:c r="K14" s="37" t="str">
        <x:v>Wire reed sensor, tune door events and validate opt-in quiet notification on real phones.</x:v>
      </x:c>
    </x:row>
    <x:row r="15" ht="58.5" customHeight="1">
      <x:c r="A15" s="69" t="str">
        <x:v>F10</x:v>
      </x:c>
      <x:c r="B15" s="37" t="str">
        <x:v>Away, pause and visitor modes</x:v>
      </x:c>
      <x:c r="C15" s="37" t="str">
        <x:v>A03, B02, H07, H06, H05, S02</x:v>
      </x:c>
      <x:c r="D15" s="61" t="str">
        <x:v>Complete</x:v>
      </x:c>
      <x:c r="E15" s="61" t="str">
        <x:v>Complete</x:v>
      </x:c>
      <x:c r="F15" s="61" t="str">
        <x:v>Complete</x:v>
      </x:c>
      <x:c r="G15" s="61" t="str">
        <x:v>Pending</x:v>
      </x:c>
      <x:c r="H15" s="61" t="str">
        <x:v>Pending</x:v>
      </x:c>
      <x:c r="I15" s="61" t="str">
        <x:v>In Progress</x:v>
      </x:c>
      <x:c r="J15" s="37" t="str">
        <x:v>Mapped host modules implemented and verified where applicable: A03, B02, H07, H06, H05, S02.</x:v>
      </x:c>
      <x:c r="K15" s="37" t="str">
        <x:v>Integrate away/pause/visitor controls and verify no false reassurance or stale state.</x:v>
      </x:c>
    </x:row>
    <x:row r="16" ht="58.5" customHeight="1">
      <x:c r="A16" s="69" t="str">
        <x:v>F11</x:v>
      </x:c>
      <x:c r="B16" s="37" t="str">
        <x:v>Caregiver dashboard and timeline</x:v>
      </x:c>
      <x:c r="C16" s="37" t="str">
        <x:v>B07, B08, A02, A05</x:v>
      </x:c>
      <x:c r="D16" s="61" t="str">
        <x:v>Complete</x:v>
      </x:c>
      <x:c r="E16" s="61" t="str">
        <x:v>Complete</x:v>
      </x:c>
      <x:c r="F16" s="61" t="str">
        <x:v>Complete</x:v>
      </x:c>
      <x:c r="G16" s="61" t="str">
        <x:v>Pending</x:v>
      </x:c>
      <x:c r="H16" s="61" t="str">
        <x:v>Pending</x:v>
      </x:c>
      <x:c r="I16" s="61" t="str">
        <x:v>In Progress</x:v>
      </x:c>
      <x:c r="J16" s="37" t="str">
        <x:v>Mapped host modules implemented and verified where applicable: B07, B08, A02, A05.</x:v>
      </x:c>
      <x:c r="K16" s="37" t="str">
        <x:v>Connect production PWA to authenticated API; validate freshness and accessibility on supported phones.</x:v>
      </x:c>
    </x:row>
    <x:row r="17" ht="58.5" customHeight="1">
      <x:c r="A17" s="69" t="str">
        <x:v>F12</x:v>
      </x:c>
      <x:c r="B17" s="37" t="str">
        <x:v>Acknowledgement and resolution</x:v>
      </x:c>
      <x:c r="C17" s="37" t="str">
        <x:v>B04, B07, B05, A04, H08</x:v>
      </x:c>
      <x:c r="D17" s="61" t="str">
        <x:v>Complete</x:v>
      </x:c>
      <x:c r="E17" s="61" t="str">
        <x:v>Complete</x:v>
      </x:c>
      <x:c r="F17" s="61" t="str">
        <x:v>Complete</x:v>
      </x:c>
      <x:c r="G17" s="61" t="str">
        <x:v>Pending</x:v>
      </x:c>
      <x:c r="H17" s="61" t="str">
        <x:v>Pending</x:v>
      </x:c>
      <x:c r="I17" s="61" t="str">
        <x:v>In Progress</x:v>
      </x:c>
      <x:c r="J17" s="37" t="str">
        <x:v>Mapped host modules implemented and verified where applicable: B04, B07, B05, A04, H08.</x:v>
      </x:c>
      <x:c r="K17" s="37" t="str">
        <x:v>Verify claim, acknowledgement and resolution against durable concurrent storage.</x:v>
      </x:c>
    </x:row>
    <x:row r="18" ht="58.5" customHeight="1">
      <x:c r="A18" s="69" t="str">
        <x:v>F13</x:v>
      </x:c>
      <x:c r="B18" s="37" t="str">
        <x:v>Backup routing and delivery visibility</x:v>
      </x:c>
      <x:c r="C18" s="37" t="str">
        <x:v>B05, B04, B08, A04, A05</x:v>
      </x:c>
      <x:c r="D18" s="61" t="str">
        <x:v>Complete</x:v>
      </x:c>
      <x:c r="E18" s="61" t="str">
        <x:v>Complete</x:v>
      </x:c>
      <x:c r="F18" s="61" t="str">
        <x:v>Complete</x:v>
      </x:c>
      <x:c r="G18" s="61" t="str">
        <x:v>Pending</x:v>
      </x:c>
      <x:c r="H18" s="61" t="str">
        <x:v>Pending</x:v>
      </x:c>
      <x:c r="I18" s="61" t="str">
        <x:v>In Progress</x:v>
      </x:c>
      <x:c r="J18" s="37" t="str">
        <x:v>Mapped host modules implemented and verified where applicable: B05, B04, B08, A04, A05.</x:v>
      </x:c>
      <x:c r="K18" s="37" t="str">
        <x:v>Integrate Web Push and worker leases; test primary failure, backup route and delivery-state clarity.</x:v>
      </x:c>
    </x:row>
    <x:row r="19" ht="58.5" customHeight="1">
      <x:c r="A19" s="69" t="str">
        <x:v>F14</x:v>
      </x:c>
      <x:c r="B19" s="37" t="str">
        <x:v>Opt-in daily morning summary</x:v>
      </x:c>
      <x:c r="C19" s="37" t="str">
        <x:v>B05, B07, A03, A02</x:v>
      </x:c>
      <x:c r="D19" s="61" t="str">
        <x:v>Complete</x:v>
      </x:c>
      <x:c r="E19" s="61" t="str">
        <x:v>Complete</x:v>
      </x:c>
      <x:c r="F19" s="61" t="str">
        <x:v>Complete</x:v>
      </x:c>
      <x:c r="G19" s="61" t="str">
        <x:v>Pending</x:v>
      </x:c>
      <x:c r="H19" s="61" t="str">
        <x:v>Pending</x:v>
      </x:c>
      <x:c r="I19" s="61" t="str">
        <x:v>In Progress</x:v>
      </x:c>
      <x:c r="J19" s="37" t="str">
        <x:v>Mapped host modules implemented and verified where applicable: B05, B07, A03, A02.</x:v>
      </x:c>
      <x:c r="K19" s="37" t="str">
        <x:v>Schedule one opt-in summary from durable projections and verify coverage-honest wording.</x:v>
      </x:c>
    </x:row>
    <x:row r="20" ht="58.5" customHeight="1">
      <x:c r="A20" s="69" t="str">
        <x:v>E01</x:v>
      </x:c>
      <x:c r="B20" s="37" t="str">
        <x:v>Node health, battery and coverage</x:v>
      </x:c>
      <x:c r="C20" s="37" t="str">
        <x:v>N03, N02, H04, B08, A02</x:v>
      </x:c>
      <x:c r="D20" s="61" t="str">
        <x:v>Complete</x:v>
      </x:c>
      <x:c r="E20" s="61" t="str">
        <x:v>Complete</x:v>
      </x:c>
      <x:c r="F20" s="61" t="str">
        <x:v>Complete</x:v>
      </x:c>
      <x:c r="G20" s="61" t="str">
        <x:v>Pending</x:v>
      </x:c>
      <x:c r="H20" s="61" t="str">
        <x:v>Pending</x:v>
      </x:c>
      <x:c r="I20" s="61" t="str">
        <x:v>In Progress</x:v>
      </x:c>
      <x:c r="J20" s="37" t="str">
        <x:v>Mapped host modules implemented and verified where applicable: N03, N02, H04, B08, A02.</x:v>
      </x:c>
      <x:c r="K20" s="37" t="str">
        <x:v>Measure node voltage/current, RF contact lease, sensor faults and installed battery behavior.</x:v>
      </x:c>
    </x:row>
    <x:row r="21" ht="58.5" customHeight="1">
      <x:c r="A21" s="69" t="str">
        <x:v>E02</x:v>
      </x:c>
      <x:c r="B21" s="37" t="str">
        <x:v>Reliable transport and duplicate handling</x:v>
      </x:c>
      <x:c r="C21" s="37" t="str">
        <x:v>N02, N05, H01, H02, H08, B03, S01</x:v>
      </x:c>
      <x:c r="D21" s="61" t="str">
        <x:v>Complete</x:v>
      </x:c>
      <x:c r="E21" s="61" t="str">
        <x:v>Complete</x:v>
      </x:c>
      <x:c r="F21" s="61" t="str">
        <x:v>Complete</x:v>
      </x:c>
      <x:c r="G21" s="61" t="str">
        <x:v>Pending</x:v>
      </x:c>
      <x:c r="H21" s="61" t="str">
        <x:v>Pending</x:v>
      </x:c>
      <x:c r="I21" s="61" t="str">
        <x:v>In Progress</x:v>
      </x:c>
      <x:c r="J21" s="37" t="str">
        <x:v>Mapped host modules implemented and verified where applicable: N02, N05, H01, H02, H08, B03, S01.</x:v>
      </x:c>
      <x:c r="K21" s="37" t="str">
        <x:v>Bind ESP-NOW and MQTT/TLS; inject loss, duplicates, resets and replay across real devices.</x:v>
      </x:c>
    </x:row>
    <x:row r="22" ht="58.5" customHeight="1">
      <x:c r="A22" s="69" t="str">
        <x:v>E03</x:v>
      </x:c>
      <x:c r="B22" s="37" t="str">
        <x:v>Local operation during internet failure</x:v>
      </x:c>
      <x:c r="C22" s="37" t="str">
        <x:v>H03, H04, H05, H06, H02, H08</x:v>
      </x:c>
      <x:c r="D22" s="61" t="str">
        <x:v>Complete</x:v>
      </x:c>
      <x:c r="E22" s="61" t="str">
        <x:v>Complete</x:v>
      </x:c>
      <x:c r="F22" s="61" t="str">
        <x:v>Complete</x:v>
      </x:c>
      <x:c r="G22" s="61" t="str">
        <x:v>Pending</x:v>
      </x:c>
      <x:c r="H22" s="61" t="str">
        <x:v>Pending</x:v>
      </x:c>
      <x:c r="I22" s="61" t="str">
        <x:v>In Progress</x:v>
      </x:c>
      <x:c r="J22" s="37" t="str">
        <x:v>Mapped host modules implemented and verified where applicable: H03, H04, H05, H06, H02, H08.</x:v>
      </x:c>
      <x:c r="K22" s="37" t="str">
        <x:v>Pass 72-hour WAN outage with local operation, bounded storage and exactly-once replay effects.</x:v>
      </x:c>
    </x:row>
    <x:row r="23" ht="58.5" customHeight="1">
      <x:c r="A23" s="69" t="str">
        <x:v>E04</x:v>
      </x:c>
      <x:c r="B23" s="37" t="str">
        <x:v>Hub/cloud/app connectivity and freshness</x:v>
      </x:c>
      <x:c r="C23" s="37" t="str">
        <x:v>H08, B08, B07, A05, A02</x:v>
      </x:c>
      <x:c r="D23" s="61" t="str">
        <x:v>Complete</x:v>
      </x:c>
      <x:c r="E23" s="61" t="str">
        <x:v>Complete</x:v>
      </x:c>
      <x:c r="F23" s="61" t="str">
        <x:v>Complete</x:v>
      </x:c>
      <x:c r="G23" s="61" t="str">
        <x:v>Pending</x:v>
      </x:c>
      <x:c r="H23" s="61" t="str">
        <x:v>Pending</x:v>
      </x:c>
      <x:c r="I23" s="61" t="str">
        <x:v>In Progress</x:v>
      </x:c>
      <x:c r="J23" s="37" t="str">
        <x:v>Mapped host modules implemented and verified where applicable: H08, B08, B07, A05, A02.</x:v>
      </x:c>
      <x:c r="K23" s="37" t="str">
        <x:v>Expose independent hub/cloud/app freshness using real broker, API, push and phones.</x:v>
      </x:c>
    </x:row>
    <x:row r="24" ht="58.5" customHeight="1">
      <x:c r="A24" s="69" t="str">
        <x:v>E05</x:v>
      </x:c>
      <x:c r="B24" s="37" t="str">
        <x:v>Persistence, recovery and bounded storage</x:v>
      </x:c>
      <x:c r="C24" s="37" t="str">
        <x:v>N05, H02, B03, B04, B05, B08</x:v>
      </x:c>
      <x:c r="D24" s="61" t="str">
        <x:v>Complete</x:v>
      </x:c>
      <x:c r="E24" s="61" t="str">
        <x:v>Complete</x:v>
      </x:c>
      <x:c r="F24" s="61" t="str">
        <x:v>Complete</x:v>
      </x:c>
      <x:c r="G24" s="61" t="str">
        <x:v>Pending</x:v>
      </x:c>
      <x:c r="H24" s="61" t="str">
        <x:v>Pending</x:v>
      </x:c>
      <x:c r="I24" s="61" t="str">
        <x:v>In Progress</x:v>
      </x:c>
      <x:c r="J24" s="37" t="str">
        <x:v>Mapped host modules implemented and verified where applicable: N05, H02, B03, B04, B05, B08.</x:v>
      </x:c>
      <x:c r="K24" s="37" t="str">
        <x:v>Implement flash journal + PostgreSQL durability; pass interrupted-write and restore tests.</x:v>
      </x:c>
    </x:row>
    <x:row r="25" ht="58.5" customHeight="1">
      <x:c r="A25" s="69" t="str">
        <x:v>E06</x:v>
      </x:c>
      <x:c r="B25" s="37" t="str">
        <x:v>Trusted time and boundary handling</x:v>
      </x:c>
      <x:c r="C25" s="37" t="str">
        <x:v>H03, H07, H05, S01, S02</x:v>
      </x:c>
      <x:c r="D25" s="61" t="str">
        <x:v>Complete</x:v>
      </x:c>
      <x:c r="E25" s="61" t="str">
        <x:v>Complete</x:v>
      </x:c>
      <x:c r="F25" s="61" t="str">
        <x:v>Complete</x:v>
      </x:c>
      <x:c r="G25" s="61" t="str">
        <x:v>Pending</x:v>
      </x:c>
      <x:c r="H25" s="61" t="str">
        <x:v>Pending</x:v>
      </x:c>
      <x:c r="I25" s="61" t="str">
        <x:v>In Progress</x:v>
      </x:c>
      <x:c r="J25" s="37" t="str">
        <x:v>Mapped host modules implemented and verified where applicable: H03, H07, H05, S01, S02.</x:v>
      </x:c>
      <x:c r="K25" s="37" t="str">
        <x:v>Bind authenticated time; test reboot, drift, expiry and timezone/DST boundaries.</x:v>
      </x:c>
    </x:row>
    <x:row r="26" ht="58.5" customHeight="1">
      <x:c r="A26" s="69" t="str">
        <x:v>E07</x:v>
      </x:c>
      <x:c r="B26" s="37" t="str">
        <x:v>Versioned configuration and atomic application</x:v>
      </x:c>
      <x:c r="C26" s="37" t="str">
        <x:v>B06, A03, H07, N04, H08, S01</x:v>
      </x:c>
      <x:c r="D26" s="61" t="str">
        <x:v>Complete</x:v>
      </x:c>
      <x:c r="E26" s="61" t="str">
        <x:v>Complete</x:v>
      </x:c>
      <x:c r="F26" s="61" t="str">
        <x:v>Complete</x:v>
      </x:c>
      <x:c r="G26" s="61" t="str">
        <x:v>Pending</x:v>
      </x:c>
      <x:c r="H26" s="61" t="str">
        <x:v>Pending</x:v>
      </x:c>
      <x:c r="I26" s="61" t="str">
        <x:v>In Progress</x:v>
      </x:c>
      <x:c r="J26" s="37" t="str">
        <x:v>Mapped host modules implemented and verified where applicable: B06, A03, H07, N04, H08, S01.</x:v>
      </x:c>
      <x:c r="K26" s="37" t="str">
        <x:v>Bind NVS and cloud config delivery; pass atomic apply, reboot restore, stale and rollback cases.</x:v>
      </x:c>
    </x:row>
    <x:row r="27" ht="58.5" customHeight="1">
      <x:c r="A27" s="69" t="str">
        <x:v>E08</x:v>
      </x:c>
      <x:c r="B27" s="37" t="str">
        <x:v>Security, privacy and tenant isolation</x:v>
      </x:c>
      <x:c r="C27" s="37" t="str">
        <x:v>S03, B01, B02, B06, B08, A05, T01</x:v>
      </x:c>
      <x:c r="D27" s="61" t="str">
        <x:v>Complete</x:v>
      </x:c>
      <x:c r="E27" s="61" t="str">
        <x:v>Complete</x:v>
      </x:c>
      <x:c r="F27" s="61" t="str">
        <x:v>Complete</x:v>
      </x:c>
      <x:c r="G27" s="61" t="str">
        <x:v>Pending</x:v>
      </x:c>
      <x:c r="H27" s="61" t="str">
        <x:v>Pending</x:v>
      </x:c>
      <x:c r="I27" s="61" t="str">
        <x:v>In Progress</x:v>
      </x:c>
      <x:c r="J27" s="37" t="str">
        <x:v>Mapped host modules implemented and verified where applicable: S03, B01, B02, B06, B08, A05, T01.</x:v>
      </x:c>
      <x:c r="K27" s="37" t="str">
        <x:v>Integrate OIDC, TLS, ACL/RLS, secret storage and privacy/security review evidence.</x:v>
      </x:c>
    </x:row>
    <x:row r="28" ht="58.5" customHeight="1">
      <x:c r="A28" s="69" t="str">
        <x:v>E09</x:v>
      </x:c>
      <x:c r="B28" s="37" t="str">
        <x:v>Signed firmware update and recovery</x:v>
      </x:c>
      <x:c r="C28" s="37" t="str">
        <x:v>S03, H07, N04, B06, B08, T02</x:v>
      </x:c>
      <x:c r="D28" s="61" t="str">
        <x:v>Complete</x:v>
      </x:c>
      <x:c r="E28" s="61" t="str">
        <x:v>Complete</x:v>
      </x:c>
      <x:c r="F28" s="61" t="str">
        <x:v>Partial</x:v>
      </x:c>
      <x:c r="G28" s="61" t="str">
        <x:v>Pending</x:v>
      </x:c>
      <x:c r="H28" s="61" t="str">
        <x:v>Pending</x:v>
      </x:c>
      <x:c r="I28" s="61" t="str">
        <x:v>In Progress</x:v>
      </x:c>
      <x:c r="J28" s="37" t="str">
        <x:v>Fail-closed update policy seam and rollback checks exist; no real signature, secure boot or OTA recovery.</x:v>
      </x:c>
      <x:c r="K28" s="37" t="str">
        <x:v>Implement real SHA-256/signature verification, secure boot, signed OTA and recovery drill.</x:v>
      </x:c>
    </x:row>
    <x:row r="29" ht="58.5" customHeight="1">
      <x:c r="A29" s="70" t="str">
        <x:v>E10</x:v>
      </x:c>
      <x:c r="B29" s="38" t="str">
        <x:v>Verification, observability and release evidence</x:v>
      </x:c>
      <x:c r="C29" s="38" t="str">
        <x:v>B08, A02, T01, T02, T03, H02, H08</x:v>
      </x:c>
      <x:c r="D29" s="62" t="str">
        <x:v>Complete</x:v>
      </x:c>
      <x:c r="E29" s="62" t="str">
        <x:v>Complete</x:v>
      </x:c>
      <x:c r="F29" s="62" t="str">
        <x:v>Partial</x:v>
      </x:c>
      <x:c r="G29" s="62" t="str">
        <x:v>Pending</x:v>
      </x:c>
      <x:c r="H29" s="62" t="str">
        <x:v>Pending</x:v>
      </x:c>
      <x:c r="I29" s="62" t="str">
        <x:v>In Progress</x:v>
      </x:c>
      <x:c r="J29" s="38" t="str">
        <x:v>Host suite is green; hardware, RF, power, provider and installed-home evidence are still missing.</x:v>
      </x:c>
      <x:c r="K29" s="38" t="str">
        <x:v>Add CI, HIL, RF/current/power, staging/provider and four-node installed-home evidence bundle.</x:v>
      </x:c>
    </x:row>
  </x:sheetData>
  <x:mergeCells>
    <x:mergeCell ref="A1:K1"/>
    <x:mergeCell ref="A2:K2"/>
    <x:mergeCell ref="A4:K4"/>
  </x:mergeCells>
  <x:conditionalFormatting sqref="D6:D29">
    <x:cfRule type="containsText" dxfId="88" priority="1" operator="containsText" text="Complete"/>
    <x:cfRule type="containsText" dxfId="89" priority="2" operator="containsText" text="Passed"/>
    <x:cfRule type="containsText" dxfId="90" priority="3" operator="containsText" text="Partial"/>
    <x:cfRule type="containsText" dxfId="91" priority="4" operator="containsText" text="In Progress"/>
    <x:cfRule type="containsText" dxfId="92" priority="5" operator="containsText" text="Pending"/>
    <x:cfRule type="containsText" dxfId="93" priority="6" operator="containsText" text="Not Started"/>
    <x:cfRule type="containsText" dxfId="94" priority="7" operator="containsText" text="Blocked"/>
    <x:cfRule type="containsText" dxfId="95" priority="8" operator="containsText" text="Failed"/>
  </x:conditionalFormatting>
  <x:conditionalFormatting sqref="E6:E29">
    <x:cfRule type="containsText" dxfId="96" priority="9" operator="containsText" text="Complete"/>
    <x:cfRule type="containsText" dxfId="97" priority="10" operator="containsText" text="Passed"/>
    <x:cfRule type="containsText" dxfId="98" priority="11" operator="containsText" text="Partial"/>
    <x:cfRule type="containsText" dxfId="99" priority="12" operator="containsText" text="In Progress"/>
    <x:cfRule type="containsText" dxfId="100" priority="13" operator="containsText" text="Pending"/>
    <x:cfRule type="containsText" dxfId="101" priority="14" operator="containsText" text="Not Started"/>
    <x:cfRule type="containsText" dxfId="102" priority="15" operator="containsText" text="Blocked"/>
    <x:cfRule type="containsText" dxfId="103" priority="16" operator="containsText" text="Failed"/>
  </x:conditionalFormatting>
  <x:conditionalFormatting sqref="F6:F29">
    <x:cfRule type="containsText" dxfId="104" priority="17" operator="containsText" text="Complete"/>
    <x:cfRule type="containsText" dxfId="105" priority="18" operator="containsText" text="Passed"/>
    <x:cfRule type="containsText" dxfId="106" priority="19" operator="containsText" text="Partial"/>
    <x:cfRule type="containsText" dxfId="107" priority="20" operator="containsText" text="In Progress"/>
    <x:cfRule type="containsText" dxfId="108" priority="21" operator="containsText" text="Pending"/>
    <x:cfRule type="containsText" dxfId="109" priority="22" operator="containsText" text="Not Started"/>
    <x:cfRule type="containsText" dxfId="110" priority="23" operator="containsText" text="Blocked"/>
    <x:cfRule type="containsText" dxfId="111" priority="24" operator="containsText" text="Failed"/>
  </x:conditionalFormatting>
  <x:conditionalFormatting sqref="G6:G29">
    <x:cfRule type="containsText" dxfId="112" priority="25" operator="containsText" text="Complete"/>
    <x:cfRule type="containsText" dxfId="113" priority="26" operator="containsText" text="Passed"/>
    <x:cfRule type="containsText" dxfId="114" priority="27" operator="containsText" text="Partial"/>
    <x:cfRule type="containsText" dxfId="115" priority="28" operator="containsText" text="In Progress"/>
    <x:cfRule type="containsText" dxfId="116" priority="29" operator="containsText" text="Pending"/>
    <x:cfRule type="containsText" dxfId="117" priority="30" operator="containsText" text="Not Started"/>
    <x:cfRule type="containsText" dxfId="118" priority="31" operator="containsText" text="Blocked"/>
    <x:cfRule type="containsText" dxfId="119" priority="32" operator="containsText" text="Failed"/>
  </x:conditionalFormatting>
  <x:conditionalFormatting sqref="H6:H29">
    <x:cfRule type="containsText" dxfId="120" priority="33" operator="containsText" text="Complete"/>
    <x:cfRule type="containsText" dxfId="121" priority="34" operator="containsText" text="Passed"/>
    <x:cfRule type="containsText" dxfId="122" priority="35" operator="containsText" text="Partial"/>
    <x:cfRule type="containsText" dxfId="123" priority="36" operator="containsText" text="In Progress"/>
    <x:cfRule type="containsText" dxfId="124" priority="37" operator="containsText" text="Pending"/>
    <x:cfRule type="containsText" dxfId="125" priority="38" operator="containsText" text="Not Started"/>
    <x:cfRule type="containsText" dxfId="126" priority="39" operator="containsText" text="Blocked"/>
    <x:cfRule type="containsText" dxfId="127" priority="40" operator="containsText" text="Failed"/>
  </x:conditionalFormatting>
  <x:conditionalFormatting sqref="I6:I29">
    <x:cfRule type="containsText" dxfId="128" priority="41" operator="containsText" text="Complete"/>
    <x:cfRule type="containsText" dxfId="129" priority="42" operator="containsText" text="Passed"/>
    <x:cfRule type="containsText" dxfId="130" priority="43" operator="containsText" text="Partial"/>
    <x:cfRule type="containsText" dxfId="131" priority="44" operator="containsText" text="In Progress"/>
    <x:cfRule type="containsText" dxfId="132" priority="45" operator="containsText" text="Pending"/>
    <x:cfRule type="containsText" dxfId="133" priority="46" operator="containsText" text="Not Started"/>
    <x:cfRule type="containsText" dxfId="134" priority="47" operator="containsText" text="Blocked"/>
    <x:cfRule type="containsText" dxfId="135" priority="48" operator="containsText" text="Failed"/>
  </x:conditionalFormatting>
  <x:dataValidations count="6">
    <x:dataValidation type="list" sqref="D6:D29">
      <x:formula1>"Complete,Passed,Partial,In Progress,Pending,Not Started,Blocked,Failed"</x:formula1>
    </x:dataValidation>
    <x:dataValidation type="list" sqref="E6:E29">
      <x:formula1>"Complete,Passed,Partial,In Progress,Pending,Not Started,Blocked,Failed"</x:formula1>
    </x:dataValidation>
    <x:dataValidation type="list" sqref="F6:F29">
      <x:formula1>"Complete,Passed,Partial,In Progress,Pending,Not Started,Blocked,Failed"</x:formula1>
    </x:dataValidation>
    <x:dataValidation type="list" sqref="G6:G29">
      <x:formula1>"Complete,Passed,Partial,In Progress,Pending,Not Started,Blocked,Failed"</x:formula1>
    </x:dataValidation>
    <x:dataValidation type="list" sqref="H6:H29">
      <x:formula1>"Complete,Passed,Partial,In Progress,Pending,Not Started,Blocked,Failed"</x:formula1>
    </x:dataValidation>
    <x:dataValidation type="list" sqref="I6:I29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1.670000076293945" hidden="0" customWidth="1"/>
    <x:col min="3" max="3" width="26.670000076293945" hidden="0" customWidth="1"/>
    <x:col min="4" max="4" width="19.440000534057617" hidden="0" customWidth="1"/>
    <x:col min="5" max="5" width="23.329999923706055" hidden="0" customWidth="1"/>
    <x:col min="6" max="6" width="27.780000686645508" hidden="0" customWidth="1"/>
    <x:col min="7" max="7" width="12.220000267028809" hidden="0" customWidth="1"/>
    <x:col min="8" max="8" width="31.110000610351562" hidden="0" customWidth="1"/>
  </x:cols>
  <x:sheetData>
    <x:row r="1" ht="25.5" customHeight="1">
      <x:c r="A1" s="3" t="str">
        <x:v>High-Level Design and Runtime Ownership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System layers, communication boundaries and the proposed hub FreeRTOS binding. Design is complete; target binding remains pending.</x:v>
      </x:c>
      <x:c r="B2" s="7"/>
      <x:c r="C2" s="7"/>
      <x:c r="D2" s="7"/>
      <x:c r="E2" s="7"/>
      <x:c r="F2" s="7"/>
      <x:c r="G2" s="7"/>
      <x:c r="H2" s="7"/>
    </x:row>
    <x:row r="4" ht="18" customHeight="1">
      <x:c r="A4" s="20" t="str">
        <x:v>Architecture layers</x:v>
      </x:c>
      <x:c r="B4" s="20"/>
      <x:c r="C4" s="20"/>
      <x:c r="D4" s="20"/>
      <x:c r="E4" s="20"/>
      <x:c r="F4" s="20"/>
      <x:c r="G4" s="20"/>
      <x:c r="H4" s="20"/>
    </x:row>
    <x:row r="5" ht="30" customHeight="1">
      <x:c r="A5" s="25" t="str">
        <x:v>Layer</x:v>
      </x:c>
      <x:c r="B5" s="25" t="str">
        <x:v>Modules</x:v>
      </x:c>
      <x:c r="C5" s="25" t="str">
        <x:v>Primary responsibility</x:v>
      </x:c>
      <x:c r="D5" s="25" t="str">
        <x:v>Runtime / owner</x:v>
      </x:c>
      <x:c r="E5" s="25" t="str">
        <x:v>Communication</x:v>
      </x:c>
      <x:c r="F5" s="25" t="str">
        <x:v>Durable or owned state</x:v>
      </x:c>
      <x:c r="G5" s="25" t="str">
        <x:v>Host state</x:v>
      </x:c>
      <x:c r="H5" s="25" t="str">
        <x:v>Remaining target gate</x:v>
      </x:c>
    </x:row>
    <x:row r="6" ht="72" customHeight="1">
      <x:c r="A6" s="36" t="str">
        <x:v>Node firmware</x:v>
      </x:c>
      <x:c r="B6" s="36" t="str">
        <x:v>N01–N05</x:v>
      </x:c>
      <x:c r="C6" s="36" t="str">
        <x:v>Qualify PIR/reed/button evidence; retain and retry events; manage node power/config</x:v>
      </x:c>
      <x:c r="D6" s="36" t="str">
        <x:v>ESP32-C3 node; NodeRuntime owns composition</x:v>
      </x:c>
      <x:c r="E6" s="36" t="str">
        <x:v>GPIO/ADC locally; planned ESP-NOW to hub</x:v>
      </x:c>
      <x:c r="F6" s="36" t="str">
        <x:v>Bounded retained-event store and active node config</x:v>
      </x:c>
      <x:c r="G6" s="60" t="str">
        <x:v>Complete</x:v>
      </x:c>
      <x:c r="H6" s="36" t="str">
        <x:v>GPIO, deep sleep, ADC, ESP-NOW, NVS/flash and current/RF qualification</x:v>
      </x:c>
    </x:row>
    <x:row r="7" ht="72" customHeight="1">
      <x:c r="A7" s="37" t="str">
        <x:v>Hub firmware</x:v>
      </x:c>
      <x:c r="B7" s="37" t="str">
        <x:v>H01–H08</x:v>
      </x:c>
      <x:c r="C7" s="37" t="str">
        <x:v>Persist evidence, track coverage/time, run deterministic routines, resident actions and cloud replay</x:v>
      </x:c>
      <x:c r="D7" s="37" t="str">
        <x:v>ESP32 DevKit V1; one state-owner task plus adapters</x:v>
      </x:c>
      <x:c r="E7" s="37" t="str">
        <x:v>ESP-NOW from nodes; local GPIO/I2C; planned MQTT/TLS to backend</x:v>
      </x:c>
      <x:c r="F7" s="37" t="str">
        <x:v>Hub journal, routine state, coverage, config and cloud outbox</x:v>
      </x:c>
      <x:c r="G7" s="61" t="str">
        <x:v>Complete</x:v>
      </x:c>
      <x:c r="H7" s="37" t="str">
        <x:v>ESP-IDF/FreeRTOS binding, flash journal, controls, Wi-Fi/MQTT/TLS and reset tests</x:v>
      </x:c>
    </x:row>
    <x:row r="8" ht="72" customHeight="1">
      <x:c r="A8" s="37" t="str">
        <x:v>Backend</x:v>
      </x:c>
      <x:c r="B8" s="37" t="str">
        <x:v>B01–B08</x:v>
      </x:c>
      <x:c r="C8" s="37" t="str">
        <x:v>Tenant/consent, idempotent ingest, incidents, notifications, fleet config, queries and audit</x:v>
      </x:c>
      <x:c r="D8" s="37" t="str">
        <x:v>Python domain services; production workers/API pending</x:v>
      </x:c>
      <x:c r="E8" s="37" t="str">
        <x:v>MQTT/TLS, HTTPS/JSON, Web Push</x:v>
      </x:c>
      <x:c r="F8" s="37" t="str">
        <x:v>Durable home, event, incident, outbox and audit data</x:v>
      </x:c>
      <x:c r="G8" s="61" t="str">
        <x:v>Complete</x:v>
      </x:c>
      <x:c r="H8" s="37" t="str">
        <x:v>PostgreSQL/RLS, OIDC, MQTT consumer, worker leases, push provider, backup/restore</x:v>
      </x:c>
    </x:row>
    <x:row r="9" ht="72" customHeight="1">
      <x:c r="A9" s="37" t="str">
        <x:v>Caregiver app</x:v>
      </x:c>
      <x:c r="B9" s="37" t="str">
        <x:v>A01–A05</x:v>
      </x:c>
      <x:c r="C9" s="37" t="str">
        <x:v>Onboarding, evidence/freshness view, routine settings, incident actions and offline/cache policy</x:v>
      </x:c>
      <x:c r="D9" s="37" t="str">
        <x:v>Responsive browser/PWA baseline</x:v>
      </x:c>
      <x:c r="E9" s="37" t="str">
        <x:v>HTTPS/JSON, optional SSE/Web Push</x:v>
      </x:c>
      <x:c r="F9" s="37" t="str">
        <x:v>Versioned local cache only; server remains authoritative</x:v>
      </x:c>
      <x:c r="G9" s="61" t="str">
        <x:v>Complete</x:v>
      </x:c>
      <x:c r="H9" s="37" t="str">
        <x:v>Production framework/API/OIDC integration, IndexedDB/push, accessibility, localization, phones</x:v>
      </x:c>
    </x:row>
    <x:row r="10" ht="72" customHeight="1">
      <x:c r="A10" s="37" t="str">
        <x:v>Shared</x:v>
      </x:c>
      <x:c r="B10" s="37" t="str">
        <x:v>S01–S03</x:v>
      </x:c>
      <x:c r="C10" s="37" t="str">
        <x:v>Versioned contracts, deterministic rules and fail-closed update/security policy</x:v>
      </x:c>
      <x:c r="D10" s="37" t="str">
        <x:v>Portable schemas and C++ core</x:v>
      </x:c>
      <x:c r="E10" s="37" t="str">
        <x:v>Schemas/OpenAPI across layers; injected crypto seam</x:v>
      </x:c>
      <x:c r="F10" s="37" t="str">
        <x:v>Versioned schema/config identities; caller-owned rule state</x:v>
      </x:c>
      <x:c r="G10" s="61" t="str">
        <x:v>Complete</x:v>
      </x:c>
      <x:c r="H10" s="37" t="str">
        <x:v>Generated bindings/golden vectors, protected keys, real crypto, secure boot and signed OTA</x:v>
      </x:c>
    </x:row>
    <x:row r="11" ht="72" customHeight="1">
      <x:c r="A11" s="38" t="str">
        <x:v>Test / Ops</x:v>
      </x:c>
      <x:c r="B11" s="38" t="str">
        <x:v>T01–T03</x:v>
      </x:c>
      <x:c r="C11" s="38" t="str">
        <x:v>Host verification, HIL planning and example deployment/operations</x:v>
      </x:c>
      <x:c r="D11" s="38" t="str">
        <x:v>Host runner plus pending physical/staging lanes</x:v>
      </x:c>
      <x:c r="E11" s="38" t="str">
        <x:v>CLI, serial/instrument adapters, deployment configs</x:v>
      </x:c>
      <x:c r="F11" s="38" t="str">
        <x:v>Fixtures, evidence reports and external service state</x:v>
      </x:c>
      <x:c r="G11" s="62" t="str">
        <x:v>Partial</x:v>
      </x:c>
      <x:c r="H11" s="38" t="str">
        <x:v>CI service, physical fault/current/RF tests, staging, restore drill and installed-home evidence</x:v>
      </x:c>
    </x:row>
    <x:row r="13" ht="18" customHeight="1">
      <x:c r="A13" s="20" t="str">
        <x:v>Proposed hub FreeRTOS binding</x:v>
      </x:c>
      <x:c r="B13" s="20"/>
      <x:c r="C13" s="20"/>
      <x:c r="D13" s="20"/>
      <x:c r="E13" s="20"/>
      <x:c r="F13" s="20"/>
      <x:c r="G13" s="20"/>
      <x:c r="H13" s="20"/>
    </x:row>
    <x:row r="14" ht="30" customHeight="1">
      <x:c r="A14" s="25" t="str">
        <x:v>Task / adapter</x:v>
      </x:c>
      <x:c r="B14" s="25" t="str">
        <x:v>Priority intent</x:v>
      </x:c>
      <x:c r="C14" s="25" t="str">
        <x:v>Consumes</x:v>
      </x:c>
      <x:c r="D14" s="25" t="str">
        <x:v>Produces</x:v>
      </x:c>
      <x:c r="E14" s="25" t="str">
        <x:v>Owns mutable state</x:v>
      </x:c>
      <x:c r="F14" s="25" t="str">
        <x:v>Blocking rule</x:v>
      </x:c>
      <x:c r="G14" s="25" t="str">
        <x:v>Design status</x:v>
      </x:c>
      <x:c r="H14" s="25" t="str">
        <x:v>Target status</x:v>
      </x:c>
    </x:row>
    <x:row r="15" ht="61.5" customHeight="1">
      <x:c r="A15" s="36" t="str">
        <x:v>radio_rx adapter</x:v>
      </x:c>
      <x:c r="B15" s="36" t="str">
        <x:v>High / callback bounded</x:v>
      </x:c>
      <x:c r="C15" s="36" t="str">
        <x:v>Authenticated ESP-NOW frame</x:v>
      </x:c>
      <x:c r="D15" s="36" t="str">
        <x:v>Fixed-value ingress mailbox item</x:v>
      </x:c>
      <x:c r="E15" s="36" t="str">
        <x:v>No domain state</x:v>
      </x:c>
      <x:c r="F15" s="36" t="str">
        <x:v>Copy/validate/enqueue only; never flash or run rules in callback</x:v>
      </x:c>
      <x:c r="G15" s="60" t="str">
        <x:v>Complete</x:v>
      </x:c>
      <x:c r="H15" s="60" t="str">
        <x:v>Pending</x:v>
      </x:c>
    </x:row>
    <x:row r="16" ht="61.5" customHeight="1">
      <x:c r="A16" s="37" t="str">
        <x:v>state_core task</x:v>
      </x:c>
      <x:c r="B16" s="37" t="str">
        <x:v>Single domain owner</x:v>
      </x:c>
      <x:c r="C16" s="37" t="str">
        <x:v>Ingress, UI commands, deadlines, config</x:v>
      </x:c>
      <x:c r="D16" s="37" t="str">
        <x:v>Journal commits, ACK class, routine/coverage decisions</x:v>
      </x:c>
      <x:c r="E16" s="37" t="str">
        <x:v>H02–H07 state snapshots</x:v>
      </x:c>
      <x:c r="F16" s="37" t="str">
        <x:v>Serializes domain mutation; no network blocking</x:v>
      </x:c>
      <x:c r="G16" s="61" t="str">
        <x:v>Complete</x:v>
      </x:c>
      <x:c r="H16" s="61" t="str">
        <x:v>Pending</x:v>
      </x:c>
    </x:row>
    <x:row r="17" ht="61.5" customHeight="1">
      <x:c r="A17" s="37" t="str">
        <x:v>local_ui task</x:v>
      </x:c>
      <x:c r="B17" s="37" t="str">
        <x:v>Responsive resident feedback</x:v>
      </x:c>
      <x:c r="C17" s="37" t="str">
        <x:v>Button/switch events and feedback command</x:v>
      </x:c>
      <x:c r="D17" s="37" t="str">
        <x:v>GPIO/display/buzzer effects</x:v>
      </x:c>
      <x:c r="E17" s="37" t="str">
        <x:v>Physical debounce only</x:v>
      </x:c>
      <x:c r="F17" s="37" t="str">
        <x:v>Never decides incident state</x:v>
      </x:c>
      <x:c r="G17" s="61" t="str">
        <x:v>Complete</x:v>
      </x:c>
      <x:c r="H17" s="61" t="str">
        <x:v>Pending</x:v>
      </x:c>
    </x:row>
    <x:row r="18" ht="61.5" customHeight="1">
      <x:c r="A18" s="37" t="str">
        <x:v>cloud_sync task</x:v>
      </x:c>
      <x:c r="B18" s="37" t="str">
        <x:v>Backoff-aware</x:v>
      </x:c>
      <x:c r="C18" s="37" t="str">
        <x:v>H02 committed outbox</x:v>
      </x:c>
      <x:c r="D18" s="37" t="str">
        <x:v>MQTT/TLS publish and application ACK command</x:v>
      </x:c>
      <x:c r="E18" s="37" t="str">
        <x:v>Connection/retry state only</x:v>
      </x:c>
      <x:c r="F18" s="37" t="str">
        <x:v>Transport ACK never retires business evidence</x:v>
      </x:c>
      <x:c r="G18" s="61" t="str">
        <x:v>Complete</x:v>
      </x:c>
      <x:c r="H18" s="61" t="str">
        <x:v>Pending</x:v>
      </x:c>
    </x:row>
    <x:row r="19" ht="61.5" customHeight="1">
      <x:c r="A19" s="38" t="str">
        <x:v>supervisor/timer task</x:v>
      </x:c>
      <x:c r="B19" s="38" t="str">
        <x:v>Periodic health</x:v>
      </x:c>
      <x:c r="C19" s="38" t="str">
        <x:v>Monotonic clock, task liveness and deadlines</x:v>
      </x:c>
      <x:c r="D19" s="38" t="str">
        <x:v>Deadline/health commands</x:v>
      </x:c>
      <x:c r="E19" s="38" t="str">
        <x:v>Watchdog counters</x:v>
      </x:c>
      <x:c r="F19" s="38" t="str">
        <x:v>No direct mutation of journal/routine state</x:v>
      </x:c>
      <x:c r="G19" s="62" t="str">
        <x:v>Complete</x:v>
      </x:c>
      <x:c r="H19" s="62" t="str">
        <x:v>Pending</x:v>
      </x:c>
    </x:row>
    <x:row r="21" ht="18" customHeight="1">
      <x:c r="A21" s="20" t="str">
        <x:v>Non-negotiable architecture rules</x:v>
      </x:c>
      <x:c r="B21" s="20"/>
      <x:c r="C21" s="20"/>
      <x:c r="D21" s="20"/>
      <x:c r="E21" s="20"/>
      <x:c r="F21" s="20"/>
      <x:c r="G21" s="20"/>
      <x:c r="H21" s="20"/>
    </x:row>
    <x:row r="22" ht="30" customHeight="1">
      <x:c r="A22" s="25" t="str">
        <x:v>Rule</x:v>
      </x:c>
      <x:c r="B22" s="25" t="str">
        <x:v>Principle</x:v>
      </x:c>
      <x:c r="C22" s="25" t="str"/>
      <x:c r="D22" s="25" t="str">
        <x:v>Meaning</x:v>
      </x:c>
      <x:c r="E22" s="25" t="str"/>
      <x:c r="F22" s="25" t="str"/>
      <x:c r="G22" s="25" t="str"/>
      <x:c r="H22" s="25" t="str"/>
    </x:row>
    <x:row r="23" ht="25.5" customHeight="1">
      <x:c r="A23" s="80" t="str">
        <x:v>1</x:v>
      </x:c>
      <x:c r="B23" s="36" t="str">
        <x:v>Durability before ACK</x:v>
      </x:c>
      <x:c r="C23" s="36"/>
      <x:c r="D23" s="36" t="str">
        <x:v>Node receives DURABLE only after hub journal commit</x:v>
      </x:c>
      <x:c r="E23" s="36"/>
      <x:c r="F23" s="36"/>
      <x:c r="G23" s="36"/>
      <x:c r="H23" s="36"/>
    </x:row>
    <x:row r="24" ht="25.5" customHeight="1">
      <x:c r="A24" s="81" t="str">
        <x:v>2</x:v>
      </x:c>
      <x:c r="B24" s="37" t="str">
        <x:v>Coverage honesty</x:v>
      </x:c>
      <x:c r="C24" s="37"/>
      <x:c r="D24" s="37" t="str">
        <x:v>Unknown/offline coverage suppresses missing-activity claims</x:v>
      </x:c>
      <x:c r="E24" s="37"/>
      <x:c r="F24" s="37"/>
      <x:c r="G24" s="37"/>
      <x:c r="H24" s="37"/>
    </x:row>
    <x:row r="25" ht="25.5" customHeight="1">
      <x:c r="A25" s="81" t="str">
        <x:v>3</x:v>
      </x:c>
      <x:c r="B25" s="37" t="str">
        <x:v>Separate states</x:v>
      </x:c>
      <x:c r="C25" s="37"/>
      <x:c r="D25" s="37" t="str">
        <x:v>Provider acceptance, phone receipt, human ACK and resolution remain distinct</x:v>
      </x:c>
      <x:c r="E25" s="37"/>
      <x:c r="F25" s="37"/>
      <x:c r="G25" s="37"/>
      <x:c r="H25" s="37"/>
    </x:row>
    <x:row r="26" ht="25.5" customHeight="1">
      <x:c r="A26" s="81" t="str">
        <x:v>4</x:v>
      </x:c>
      <x:c r="B26" s="37" t="str">
        <x:v>Privacy</x:v>
      </x:c>
      <x:c r="C26" s="37"/>
      <x:c r="D26" s="37" t="str">
        <x:v>P0 has no indoor camera, microphone or resident identity inference</x:v>
      </x:c>
      <x:c r="E26" s="37"/>
      <x:c r="F26" s="37"/>
      <x:c r="G26" s="37"/>
      <x:c r="H26" s="37"/>
    </x:row>
    <x:row r="27" ht="25.5" customHeight="1">
      <x:c r="A27" s="81" t="str">
        <x:v>5</x:v>
      </x:c>
      <x:c r="B27" s="37" t="str">
        <x:v>Local first</x:v>
      </x:c>
      <x:c r="C27" s="37"/>
      <x:c r="D27" s="37" t="str">
        <x:v>Resident controls and routine logic remain useful during WAN failure</x:v>
      </x:c>
      <x:c r="E27" s="37"/>
      <x:c r="F27" s="37"/>
      <x:c r="G27" s="37"/>
      <x:c r="H27" s="37"/>
    </x:row>
    <x:row r="28" ht="25.5" customHeight="1">
      <x:c r="A28" s="81" t="str">
        <x:v>6</x:v>
      </x:c>
      <x:c r="B28" s="37" t="str">
        <x:v>One state owner</x:v>
      </x:c>
      <x:c r="C28" s="37"/>
      <x:c r="D28" s="37" t="str">
        <x:v>Hub domain mutation is serialized through the state task</x:v>
      </x:c>
      <x:c r="E28" s="37"/>
      <x:c r="F28" s="37"/>
      <x:c r="G28" s="37"/>
      <x:c r="H28" s="37"/>
    </x:row>
    <x:row r="29" ht="25.5" customHeight="1">
      <x:c r="A29" s="81" t="str">
        <x:v>7</x:v>
      </x:c>
      <x:c r="B29" s="37" t="str">
        <x:v>Version everything</x:v>
      </x:c>
      <x:c r="C29" s="37"/>
      <x:c r="D29" s="37" t="str">
        <x:v>Events, configs and contracts carry stable identity/version</x:v>
      </x:c>
      <x:c r="E29" s="37"/>
      <x:c r="F29" s="37"/>
      <x:c r="G29" s="37"/>
      <x:c r="H29" s="37"/>
    </x:row>
    <x:row r="30" ht="25.5" customHeight="1">
      <x:c r="A30" s="82" t="str">
        <x:v>8</x:v>
      </x:c>
      <x:c r="B30" s="38" t="str">
        <x:v>Fail closed</x:v>
      </x:c>
      <x:c r="C30" s="38"/>
      <x:c r="D30" s="38" t="str">
        <x:v>Unknown time, coverage or signature never becomes reassurance</x:v>
      </x:c>
      <x:c r="E30" s="38"/>
      <x:c r="F30" s="38"/>
      <x:c r="G30" s="38"/>
      <x:c r="H30" s="38"/>
    </x:row>
  </x:sheetData>
  <x:mergeCells>
    <x:mergeCell ref="A1:H1"/>
    <x:mergeCell ref="A2:H2"/>
    <x:mergeCell ref="A4:H4"/>
    <x:mergeCell ref="A13:H13"/>
    <x:mergeCell ref="A21:H21"/>
    <x:mergeCell ref="B22:C22"/>
    <x:mergeCell ref="D22:H22"/>
    <x:mergeCell ref="B23:C23"/>
    <x:mergeCell ref="D23:H23"/>
    <x:mergeCell ref="B24:C24"/>
    <x:mergeCell ref="D24:H24"/>
    <x:mergeCell ref="B25:C25"/>
    <x:mergeCell ref="D25:H25"/>
    <x:mergeCell ref="B26:C26"/>
    <x:mergeCell ref="D26:H26"/>
    <x:mergeCell ref="B27:C27"/>
    <x:mergeCell ref="D27:H27"/>
    <x:mergeCell ref="B28:C28"/>
    <x:mergeCell ref="D28:H28"/>
    <x:mergeCell ref="B29:C29"/>
    <x:mergeCell ref="D29:H29"/>
    <x:mergeCell ref="B30:C30"/>
    <x:mergeCell ref="D30:H30"/>
  </x:mergeCells>
  <x:conditionalFormatting sqref="G6:G11">
    <x:cfRule type="containsText" dxfId="136" priority="1" operator="containsText" text="Complete"/>
    <x:cfRule type="containsText" dxfId="137" priority="2" operator="containsText" text="Passed"/>
    <x:cfRule type="containsText" dxfId="138" priority="3" operator="containsText" text="Partial"/>
    <x:cfRule type="containsText" dxfId="139" priority="4" operator="containsText" text="In Progress"/>
    <x:cfRule type="containsText" dxfId="140" priority="5" operator="containsText" text="Pending"/>
    <x:cfRule type="containsText" dxfId="141" priority="6" operator="containsText" text="Not Started"/>
    <x:cfRule type="containsText" dxfId="142" priority="7" operator="containsText" text="Blocked"/>
    <x:cfRule type="containsText" dxfId="143" priority="8" operator="containsText" text="Failed"/>
  </x:conditionalFormatting>
  <x:conditionalFormatting sqref="G15:H19">
    <x:cfRule type="containsText" dxfId="144" priority="9" operator="containsText" text="Complete"/>
    <x:cfRule type="containsText" dxfId="145" priority="10" operator="containsText" text="Passed"/>
    <x:cfRule type="containsText" dxfId="146" priority="11" operator="containsText" text="Partial"/>
    <x:cfRule type="containsText" dxfId="147" priority="12" operator="containsText" text="In Progress"/>
    <x:cfRule type="containsText" dxfId="148" priority="13" operator="containsText" text="Pending"/>
    <x:cfRule type="containsText" dxfId="149" priority="14" operator="containsText" text="Not Started"/>
    <x:cfRule type="containsText" dxfId="150" priority="15" operator="containsText" text="Blocked"/>
    <x:cfRule type="containsText" dxfId="151" priority="16" operator="containsText" text="Fail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1.670000076293945" hidden="0" customWidth="1"/>
    <x:col min="3" max="3" width="19.440000534057617" hidden="0" customWidth="1"/>
    <x:col min="4" max="4" width="8.4399995803833" hidden="0" customWidth="1"/>
    <x:col min="5" max="5" width="8.4399995803833" hidden="0" customWidth="1"/>
    <x:col min="6" max="6" width="10.220000267028809" hidden="0" customWidth="1"/>
    <x:col min="7" max="7" width="11.670000076293945" hidden="0" customWidth="1"/>
    <x:col min="8" max="8" width="13.109999656677246" hidden="0" customWidth="1"/>
    <x:col min="9" max="9" width="11.109999656677246" hidden="0" customWidth="1"/>
    <x:col min="10" max="10" width="10.4399995803833" hidden="0" customWidth="1"/>
    <x:col min="11" max="11" width="36.66999816894531" hidden="0" customWidth="1"/>
    <x:col min="12" max="12" width="40" hidden="0" customWidth="1"/>
  </x:cols>
  <x:sheetData>
    <x:row r="1" ht="25.5" customHeight="1">
      <x:c r="A1" s="3" t="str">
        <x:v>Module Implementation Status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.5" customHeight="1">
      <x:c r="A2" s="7" t="str">
        <x:v>32 logical modules. Green is limited to delivered design, host code or verified host tests; every target-integration and field gate is still open.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67" t="str">
        <x:v>Status cells are editable. Update only when the stated evidence/exit criterion is available; the dashboard recalculates automatically.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</x:row>
    <x:row r="5" ht="30" customHeight="1">
      <x:c r="A5" s="25" t="str">
        <x:v>ID</x:v>
      </x:c>
      <x:c r="B5" s="25" t="str">
        <x:v>Layer</x:v>
      </x:c>
      <x:c r="C5" s="25" t="str">
        <x:v>Module</x:v>
      </x:c>
      <x:c r="D5" s="25" t="str">
        <x:v>HLD</x:v>
      </x:c>
      <x:c r="E5" s="25" t="str">
        <x:v>LLD</x:v>
      </x:c>
      <x:c r="F5" s="25" t="str">
        <x:v>Host code</x:v>
      </x:c>
      <x:c r="G5" s="25" t="str">
        <x:v>Host verification</x:v>
      </x:c>
      <x:c r="H5" s="25" t="str">
        <x:v>Target integration</x:v>
      </x:c>
      <x:c r="I5" s="25" t="str">
        <x:v>Field / E2E</x:v>
      </x:c>
      <x:c r="J5" s="25" t="str">
        <x:v>Overall P0</x:v>
      </x:c>
      <x:c r="K5" s="25" t="str">
        <x:v>Current evidence</x:v>
      </x:c>
      <x:c r="L5" s="25" t="str">
        <x:v>Remaining gate</x:v>
      </x:c>
    </x:row>
    <x:row r="6" ht="63" customHeight="1">
      <x:c r="A6" s="68" t="str">
        <x:v>N01</x:v>
      </x:c>
      <x:c r="B6" s="36" t="str">
        <x:v>Node firmware</x:v>
      </x:c>
      <x:c r="C6" s="36" t="str">
        <x:v>Node sensing</x:v>
      </x:c>
      <x:c r="D6" s="60" t="str">
        <x:v>Complete</x:v>
      </x:c>
      <x:c r="E6" s="60" t="str">
        <x:v>Complete</x:v>
      </x:c>
      <x:c r="F6" s="60" t="str">
        <x:v>Complete</x:v>
      </x:c>
      <x:c r="G6" s="60" t="str">
        <x:v>Passed</x:v>
      </x:c>
      <x:c r="H6" s="60" t="str">
        <x:v>Pending</x:v>
      </x:c>
      <x:c r="I6" s="60" t="str">
        <x:v>Pending</x:v>
      </x:c>
      <x:c r="J6" s="60" t="str">
        <x:v>In Progress</x:v>
      </x:c>
      <x:c r="K6" s="36" t="str">
        <x:v>Portable C++ host implementation; tests/cpp/test_main.cpp: initial, bounce and stable-rise checks.</x:v>
      </x:c>
      <x:c r="L6" s="36" t="str">
        <x:v>Host behavior passes; hardware exit requires voltage, warm-up, hold-time, wake-loop and placement tests.</x:v>
      </x:c>
    </x:row>
    <x:row r="7" ht="63" customHeight="1">
      <x:c r="A7" s="69" t="str">
        <x:v>N02</x:v>
      </x:c>
      <x:c r="B7" s="37" t="str">
        <x:v>Node firmware</x:v>
      </x:c>
      <x:c r="C7" s="37" t="str">
        <x:v>Node radio</x:v>
      </x:c>
      <x:c r="D7" s="61" t="str">
        <x:v>Complete</x:v>
      </x:c>
      <x:c r="E7" s="61" t="str">
        <x:v>Complete</x:v>
      </x:c>
      <x:c r="F7" s="61" t="str">
        <x:v>Complete</x:v>
      </x:c>
      <x:c r="G7" s="61" t="str">
        <x:v>Passed</x:v>
      </x:c>
      <x:c r="H7" s="61" t="str">
        <x:v>Pending</x:v>
      </x:c>
      <x:c r="I7" s="61" t="str">
        <x:v>Pending</x:v>
      </x:c>
      <x:c r="J7" s="61" t="str">
        <x:v>In Progress</x:v>
      </x:c>
      <x:c r="K7" s="37" t="str">
        <x:v>Portable C++ host implementation; C++ tests cover immediate send, volatile ACK retention and durable retirement.</x:v>
      </x:c>
      <x:c r="L7" s="37" t="str">
        <x:v>Host retry/ACK semantics pass; ESP-NOW encryption, channel search, callback timing and loss tests remain.</x:v>
      </x:c>
    </x:row>
    <x:row r="8" ht="63" customHeight="1">
      <x:c r="A8" s="69" t="str">
        <x:v>N03</x:v>
      </x:c>
      <x:c r="B8" s="37" t="str">
        <x:v>Node firmware</x:v>
      </x:c>
      <x:c r="C8" s="37" t="str">
        <x:v>Node power</x:v>
      </x:c>
      <x:c r="D8" s="61" t="str">
        <x:v>Complete</x:v>
      </x:c>
      <x:c r="E8" s="61" t="str">
        <x:v>Complete</x:v>
      </x:c>
      <x:c r="F8" s="61" t="str">
        <x:v>Complete</x:v>
      </x:c>
      <x:c r="G8" s="61" t="str">
        <x:v>Passed</x:v>
      </x:c>
      <x:c r="H8" s="61" t="str">
        <x:v>Pending</x:v>
      </x:c>
      <x:c r="I8" s="61" t="str">
        <x:v>Pending</x:v>
      </x:c>
      <x:c r="J8" s="61" t="str">
        <x:v>In Progress</x:v>
      </x:c>
      <x:c r="K8" s="37" t="str">
        <x:v>Portable C++ host implementation; C++ tests verify low/unknown bands and retry wake plan.</x:v>
      </x:c>
      <x:c r="L8" s="37" t="str">
        <x:v>Logic passes; ADC calibration, divider leakage, charge status and full current profile require hardware.</x:v>
      </x:c>
    </x:row>
    <x:row r="9" ht="63" customHeight="1">
      <x:c r="A9" s="69" t="str">
        <x:v>N04</x:v>
      </x:c>
      <x:c r="B9" s="37" t="str">
        <x:v>Node firmware</x:v>
      </x:c>
      <x:c r="C9" s="37" t="str">
        <x:v>Node lifecycle</x:v>
      </x:c>
      <x:c r="D9" s="61" t="str">
        <x:v>Complete</x:v>
      </x:c>
      <x:c r="E9" s="61" t="str">
        <x:v>Complete</x:v>
      </x:c>
      <x:c r="F9" s="61" t="str">
        <x:v>Complete</x:v>
      </x:c>
      <x:c r="G9" s="61" t="str">
        <x:v>Passed</x:v>
      </x:c>
      <x:c r="H9" s="61" t="str">
        <x:v>Pending</x:v>
      </x:c>
      <x:c r="I9" s="61" t="str">
        <x:v>Pending</x:v>
      </x:c>
      <x:c r="J9" s="61" t="str">
        <x:v>In Progress</x:v>
      </x:c>
      <x:c r="K9" s="37" t="str">
        <x:v>Portable C++ host implementation; C++ tests cover invalid capability, valid apply, rollback and 120-second window.</x:v>
      </x:c>
      <x:c r="L9" s="37" t="str">
        <x:v>Host state transition passes; NVS atomicity, USB jig and authenticated boot registration remain.</x:v>
      </x:c>
    </x:row>
    <x:row r="10" ht="63" customHeight="1">
      <x:c r="A10" s="69" t="str">
        <x:v>N05</x:v>
      </x:c>
      <x:c r="B10" s="37" t="str">
        <x:v>Node firmware</x:v>
      </x:c>
      <x:c r="C10" s="37" t="str">
        <x:v>Node storage</x:v>
      </x:c>
      <x:c r="D10" s="61" t="str">
        <x:v>Complete</x:v>
      </x:c>
      <x:c r="E10" s="61" t="str">
        <x:v>Complete</x:v>
      </x:c>
      <x:c r="F10" s="61" t="str">
        <x:v>Complete</x:v>
      </x:c>
      <x:c r="G10" s="61" t="str">
        <x:v>Passed</x:v>
      </x:c>
      <x:c r="H10" s="61" t="str">
        <x:v>Pending</x:v>
      </x:c>
      <x:c r="I10" s="61" t="str">
        <x:v>Pending</x:v>
      </x:c>
      <x:c r="J10" s="61" t="str">
        <x:v>In Progress</x:v>
      </x:c>
      <x:c r="K10" s="37" t="str">
        <x:v>Portable C++ host implementation; C++ tests cover persist-before-send and ACK class behavior; NodeRuntime composition tested.</x:v>
      </x:c>
      <x:c r="L10" s="37" t="str">
        <x:v>Host semantics pass; CRC/commit-marker flash ring and interrupted-write recovery require board partitions.</x:v>
      </x:c>
    </x:row>
    <x:row r="11" ht="63" customHeight="1">
      <x:c r="A11" s="69" t="str">
        <x:v>H01</x:v>
      </x:c>
      <x:c r="B11" s="37" t="str">
        <x:v>Hub firmware</x:v>
      </x:c>
      <x:c r="C11" s="37" t="str">
        <x:v>Hub ingest</x:v>
      </x:c>
      <x:c r="D11" s="61" t="str">
        <x:v>Complete</x:v>
      </x:c>
      <x:c r="E11" s="61" t="str">
        <x:v>Complete</x:v>
      </x:c>
      <x:c r="F11" s="61" t="str">
        <x:v>Complete</x:v>
      </x:c>
      <x:c r="G11" s="61" t="str">
        <x:v>Passed</x:v>
      </x:c>
      <x:c r="H11" s="61" t="str">
        <x:v>Pending</x:v>
      </x:c>
      <x:c r="I11" s="61" t="str">
        <x:v>Pending</x:v>
      </x:c>
      <x:c r="J11" s="61" t="str">
        <x:v>In Progress</x:v>
      </x:c>
      <x:c r="K11" s="37" t="str">
        <x:v>Portable C++ host implementation; C++ tests cover known/unknown peer and callback-to-worker copy.</x:v>
      </x:c>
      <x:c r="L11" s="37" t="str">
        <x:v>Host admission passes; frame authentication, payload bounds and ISR/callback latency remain on ESP-IDF.</x:v>
      </x:c>
    </x:row>
    <x:row r="12" ht="63" customHeight="1">
      <x:c r="A12" s="69" t="str">
        <x:v>H02</x:v>
      </x:c>
      <x:c r="B12" s="37" t="str">
        <x:v>Hub firmware</x:v>
      </x:c>
      <x:c r="C12" s="37" t="str">
        <x:v>Hub persistence</x:v>
      </x:c>
      <x:c r="D12" s="61" t="str">
        <x:v>Complete</x:v>
      </x:c>
      <x:c r="E12" s="61" t="str">
        <x:v>Complete</x:v>
      </x:c>
      <x:c r="F12" s="61" t="str">
        <x:v>Complete</x:v>
      </x:c>
      <x:c r="G12" s="61" t="str">
        <x:v>Passed</x:v>
      </x:c>
      <x:c r="H12" s="61" t="str">
        <x:v>Pending</x:v>
      </x:c>
      <x:c r="I12" s="61" t="str">
        <x:v>Pending</x:v>
      </x:c>
      <x:c r="J12" s="61" t="str">
        <x:v>In Progress</x:v>
      </x:c>
      <x:c r="K12" s="37" t="str">
        <x:v>Portable C++ host implementation; C++ tests cover store, duplicate, pending outbox and application ACK.</x:v>
      </x:c>
      <x:c r="L12" s="37" t="str">
        <x:v>Host invariants pass; append-only flash record, CRC, checkpoint, wear and 100-cycle crash test remain.</x:v>
      </x:c>
    </x:row>
    <x:row r="13" ht="63" customHeight="1">
      <x:c r="A13" s="69" t="str">
        <x:v>H03</x:v>
      </x:c>
      <x:c r="B13" s="37" t="str">
        <x:v>Hub firmware</x:v>
      </x:c>
      <x:c r="C13" s="37" t="str">
        <x:v>Hub time</x:v>
      </x:c>
      <x:c r="D13" s="61" t="str">
        <x:v>Complete</x:v>
      </x:c>
      <x:c r="E13" s="61" t="str">
        <x:v>Complete</x:v>
      </x:c>
      <x:c r="F13" s="61" t="str">
        <x:v>Complete</x:v>
      </x:c>
      <x:c r="G13" s="61" t="str">
        <x:v>Passed</x:v>
      </x:c>
      <x:c r="H13" s="61" t="str">
        <x:v>Pending</x:v>
      </x:c>
      <x:c r="I13" s="61" t="str">
        <x:v>Pending</x:v>
      </x:c>
      <x:c r="J13" s="61" t="str">
        <x:v>In Progress</x:v>
      </x:c>
      <x:c r="K13" s="37" t="str">
        <x:v>Portable C++ host implementation; C++ tests verify unanchored suppression and trusted bounded estimate.</x:v>
      </x:c>
      <x:c r="L13" s="37" t="str">
        <x:v>Host math passes; authenticated exchange, reboot lower-bound and optional RTC behavior remain.</x:v>
      </x:c>
    </x:row>
    <x:row r="14" ht="63" customHeight="1">
      <x:c r="A14" s="69" t="str">
        <x:v>H04</x:v>
      </x:c>
      <x:c r="B14" s="37" t="str">
        <x:v>Hub firmware</x:v>
      </x:c>
      <x:c r="C14" s="37" t="str">
        <x:v>Hub coverage</x:v>
      </x:c>
      <x:c r="D14" s="61" t="str">
        <x:v>Complete</x:v>
      </x:c>
      <x:c r="E14" s="61" t="str">
        <x:v>Complete</x:v>
      </x:c>
      <x:c r="F14" s="61" t="str">
        <x:v>Complete</x:v>
      </x:c>
      <x:c r="G14" s="61" t="str">
        <x:v>Passed</x:v>
      </x:c>
      <x:c r="H14" s="61" t="str">
        <x:v>Pending</x:v>
      </x:c>
      <x:c r="I14" s="61" t="str">
        <x:v>Pending</x:v>
      </x:c>
      <x:c r="J14" s="61" t="str">
        <x:v>In Progress</x:v>
      </x:c>
      <x:c r="K14" s="37" t="str">
        <x:v>Portable C++ host implementation; C++ tests cover never-seen, fresh and 190-second expired lease.</x:v>
      </x:c>
      <x:c r="L14" s="37" t="str">
        <x:v>Current-state host logic passes; interval reconstruction and physical sensor-path drills remain.</x:v>
      </x:c>
    </x:row>
    <x:row r="15" ht="63" customHeight="1">
      <x:c r="A15" s="69" t="str">
        <x:v>H05</x:v>
      </x:c>
      <x:c r="B15" s="37" t="str">
        <x:v>Hub firmware</x:v>
      </x:c>
      <x:c r="C15" s="37" t="str">
        <x:v>Hub rules adapter</x:v>
      </x:c>
      <x:c r="D15" s="61" t="str">
        <x:v>Complete</x:v>
      </x:c>
      <x:c r="E15" s="61" t="str">
        <x:v>Complete</x:v>
      </x:c>
      <x:c r="F15" s="61" t="str">
        <x:v>Complete</x:v>
      </x:c>
      <x:c r="G15" s="61" t="str">
        <x:v>Passed</x:v>
      </x:c>
      <x:c r="H15" s="61" t="str">
        <x:v>Pending</x:v>
      </x:c>
      <x:c r="I15" s="61" t="str">
        <x:v>Pending</x:v>
      </x:c>
      <x:c r="J15" s="61" t="str">
        <x:v>In Progress</x:v>
      </x:c>
      <x:c r="K15" s="37" t="str">
        <x:v>Portable C++ host implementation; C++ tests cover evidence, missing, duplicate deadline, coverage unknown and privacy.</x:v>
      </x:c>
      <x:c r="L15" s="37" t="str">
        <x:v>Rule paths pass; full scenario replay and long-running device timer/reboot tests remain.</x:v>
      </x:c>
    </x:row>
    <x:row r="16" ht="63" customHeight="1">
      <x:c r="A16" s="69" t="str">
        <x:v>H06</x:v>
      </x:c>
      <x:c r="B16" s="37" t="str">
        <x:v>Hub firmware</x:v>
      </x:c>
      <x:c r="C16" s="37" t="str">
        <x:v>Hub resident interface</x:v>
      </x:c>
      <x:c r="D16" s="61" t="str">
        <x:v>Complete</x:v>
      </x:c>
      <x:c r="E16" s="61" t="str">
        <x:v>Complete</x:v>
      </x:c>
      <x:c r="F16" s="61" t="str">
        <x:v>Complete</x:v>
      </x:c>
      <x:c r="G16" s="61" t="str">
        <x:v>Passed</x:v>
      </x:c>
      <x:c r="H16" s="61" t="str">
        <x:v>Pending</x:v>
      </x:c>
      <x:c r="I16" s="61" t="str">
        <x:v>Pending</x:v>
      </x:c>
      <x:c r="J16" s="61" t="str">
        <x:v>In Progress</x:v>
      </x:c>
      <x:c r="K16" s="37" t="str">
        <x:v>Portable C++ host implementation; C++ tests verify Call family event and offline wording.</x:v>
      </x:c>
      <x:c r="L16" s="37" t="str">
        <x:v>Host event/feedback contract passes; buttons, latching switch, OLED/LED, audio load and resident usability remain.</x:v>
      </x:c>
    </x:row>
    <x:row r="17" ht="63" customHeight="1">
      <x:c r="A17" s="69" t="str">
        <x:v>H07</x:v>
      </x:c>
      <x:c r="B17" s="37" t="str">
        <x:v>Hub firmware</x:v>
      </x:c>
      <x:c r="C17" s="37" t="str">
        <x:v>Hub lifecycle/config</x:v>
      </x:c>
      <x:c r="D17" s="61" t="str">
        <x:v>Complete</x:v>
      </x:c>
      <x:c r="E17" s="61" t="str">
        <x:v>Complete</x:v>
      </x:c>
      <x:c r="F17" s="61" t="str">
        <x:v>Complete</x:v>
      </x:c>
      <x:c r="G17" s="61" t="str">
        <x:v>Passed</x:v>
      </x:c>
      <x:c r="H17" s="61" t="str">
        <x:v>Pending</x:v>
      </x:c>
      <x:c r="I17" s="61" t="str">
        <x:v>Pending</x:v>
      </x:c>
      <x:c r="J17" s="61" t="str">
        <x:v>In Progress</x:v>
      </x:c>
      <x:c r="K17" s="37" t="str">
        <x:v>Portable C++ host implementation; C++ tests cover valid apply and stale-version rejection.</x:v>
      </x:c>
      <x:c r="L17" s="37" t="str">
        <x:v>Host atomic snapshot passes; NVS transaction, reboot restore, provisioning and OTA binding remain.</x:v>
      </x:c>
    </x:row>
    <x:row r="18" ht="63" customHeight="1">
      <x:c r="A18" s="69" t="str">
        <x:v>H08</x:v>
      </x:c>
      <x:c r="B18" s="37" t="str">
        <x:v>Hub firmware</x:v>
      </x:c>
      <x:c r="C18" s="37" t="str">
        <x:v>Hub cloud link</x:v>
      </x:c>
      <x:c r="D18" s="61" t="str">
        <x:v>Complete</x:v>
      </x:c>
      <x:c r="E18" s="61" t="str">
        <x:v>Complete</x:v>
      </x:c>
      <x:c r="F18" s="61" t="str">
        <x:v>Complete</x:v>
      </x:c>
      <x:c r="G18" s="61" t="str">
        <x:v>Passed</x:v>
      </x:c>
      <x:c r="H18" s="61" t="str">
        <x:v>Pending</x:v>
      </x:c>
      <x:c r="I18" s="61" t="str">
        <x:v>Pending</x:v>
      </x:c>
      <x:c r="J18" s="61" t="str">
        <x:v>In Progress</x:v>
      </x:c>
      <x:c r="K18" s="37" t="str">
        <x:v>Portable C++ host implementation; C++ tests cover urgent ordering and application-level retirement; simulator replays one offline record.</x:v>
      </x:c>
      <x:c r="L18" s="37" t="str">
        <x:v>Host scheduling passes; Wi-Fi/TLS/MQTT, ACL, broker failure and 72-hour field replay remain.</x:v>
      </x:c>
    </x:row>
    <x:row r="19" ht="63" customHeight="1">
      <x:c r="A19" s="69" t="str">
        <x:v>B01</x:v>
      </x:c>
      <x:c r="B19" s="37" t="str">
        <x:v>Backend</x:v>
      </x:c>
      <x:c r="C19" s="37" t="str">
        <x:v>Identity/access</x:v>
      </x:c>
      <x:c r="D19" s="61" t="str">
        <x:v>Complete</x:v>
      </x:c>
      <x:c r="E19" s="61" t="str">
        <x:v>Complete</x:v>
      </x:c>
      <x:c r="F19" s="61" t="str">
        <x:v>Complete</x:v>
      </x:c>
      <x:c r="G19" s="61" t="str">
        <x:v>Passed</x:v>
      </x:c>
      <x:c r="H19" s="61" t="str">
        <x:v>Pending</x:v>
      </x:c>
      <x:c r="I19" s="61" t="str">
        <x:v>Pending</x:v>
      </x:c>
      <x:c r="J19" s="61" t="str">
        <x:v>In Progress</x:v>
      </x:c>
      <x:c r="K19" s="37" t="str">
        <x:v>Host domain implementation plus Python tests; test_B01_F01_membership_is_tenant_scoped.</x:v>
      </x:c>
      <x:c r="L19" s="37" t="str">
        <x:v>Domain policy passes; production OIDC verification, token audience/issuer and database row-level controls remain.</x:v>
      </x:c>
    </x:row>
    <x:row r="20" ht="63" customHeight="1">
      <x:c r="A20" s="69" t="str">
        <x:v>B02</x:v>
      </x:c>
      <x:c r="B20" s="37" t="str">
        <x:v>Backend</x:v>
      </x:c>
      <x:c r="C20" s="37" t="str">
        <x:v>Home/consent</x:v>
      </x:c>
      <x:c r="D20" s="61" t="str">
        <x:v>Complete</x:v>
      </x:c>
      <x:c r="E20" s="61" t="str">
        <x:v>Complete</x:v>
      </x:c>
      <x:c r="F20" s="61" t="str">
        <x:v>Complete</x:v>
      </x:c>
      <x:c r="G20" s="61" t="str">
        <x:v>Passed</x:v>
      </x:c>
      <x:c r="H20" s="61" t="str">
        <x:v>Pending</x:v>
      </x:c>
      <x:c r="I20" s="61" t="str">
        <x:v>Pending</x:v>
      </x:c>
      <x:c r="J20" s="61" t="str">
        <x:v>In Progress</x:v>
      </x:c>
      <x:c r="K20" s="37" t="str">
        <x:v>Host domain implementation plus Python tests; F01 role test and test_B02_consent_withdrawal_enters_privacy.</x:v>
      </x:c>
      <x:c r="L20" s="37" t="str">
        <x:v>Domain state passes; invitation tokens, durable repository and deletion workflow remain.</x:v>
      </x:c>
    </x:row>
    <x:row r="21" ht="63" customHeight="1">
      <x:c r="A21" s="69" t="str">
        <x:v>B03</x:v>
      </x:c>
      <x:c r="B21" s="37" t="str">
        <x:v>Backend</x:v>
      </x:c>
      <x:c r="C21" s="37" t="str">
        <x:v>Event ingestion</x:v>
      </x:c>
      <x:c r="D21" s="61" t="str">
        <x:v>Complete</x:v>
      </x:c>
      <x:c r="E21" s="61" t="str">
        <x:v>Complete</x:v>
      </x:c>
      <x:c r="F21" s="61" t="str">
        <x:v>Complete</x:v>
      </x:c>
      <x:c r="G21" s="61" t="str">
        <x:v>Passed</x:v>
      </x:c>
      <x:c r="H21" s="61" t="str">
        <x:v>Pending</x:v>
      </x:c>
      <x:c r="I21" s="61" t="str">
        <x:v>Pending</x:v>
      </x:c>
      <x:c r="J21" s="61" t="str">
        <x:v>In Progress</x:v>
      </x:c>
      <x:c r="K21" s="37" t="str">
        <x:v>Host domain implementation plus Python tests; test_B03_ingest_is_idempotent.</x:v>
      </x:c>
      <x:c r="L21" s="37" t="str">
        <x:v>Domain idempotency passes; PostgreSQL transaction/outbox, MQTT consumer and commit ACK adapter remain.</x:v>
      </x:c>
    </x:row>
    <x:row r="22" ht="63" customHeight="1">
      <x:c r="A22" s="69" t="str">
        <x:v>B04</x:v>
      </x:c>
      <x:c r="B22" s="37" t="str">
        <x:v>Backend</x:v>
      </x:c>
      <x:c r="C22" s="37" t="str">
        <x:v>Incident workflow</x:v>
      </x:c>
      <x:c r="D22" s="61" t="str">
        <x:v>Complete</x:v>
      </x:c>
      <x:c r="E22" s="61" t="str">
        <x:v>Complete</x:v>
      </x:c>
      <x:c r="F22" s="61" t="str">
        <x:v>Complete</x:v>
      </x:c>
      <x:c r="G22" s="61" t="str">
        <x:v>Passed</x:v>
      </x:c>
      <x:c r="H22" s="61" t="str">
        <x:v>Pending</x:v>
      </x:c>
      <x:c r="I22" s="61" t="str">
        <x:v>Pending</x:v>
      </x:c>
      <x:c r="J22" s="61" t="str">
        <x:v>In Progress</x:v>
      </x:c>
      <x:c r="K22" s="37" t="str">
        <x:v>Host domain implementation plus Python tests; call idempotency and test_B04_claim_lease_prevents_double_ownership.</x:v>
      </x:c>
      <x:c r="L22" s="37" t="str">
        <x:v>State machine passes; database compare-and-set, HANDOFF_TO_BACKUP and concurrency load tests remain.</x:v>
      </x:c>
    </x:row>
    <x:row r="23" ht="63" customHeight="1">
      <x:c r="A23" s="69" t="str">
        <x:v>B05</x:v>
      </x:c>
      <x:c r="B23" s="37" t="str">
        <x:v>Backend</x:v>
      </x:c>
      <x:c r="C23" s="37" t="str">
        <x:v>Notification routing</x:v>
      </x:c>
      <x:c r="D23" s="61" t="str">
        <x:v>Complete</x:v>
      </x:c>
      <x:c r="E23" s="61" t="str">
        <x:v>Complete</x:v>
      </x:c>
      <x:c r="F23" s="61" t="str">
        <x:v>Complete</x:v>
      </x:c>
      <x:c r="G23" s="61" t="str">
        <x:v>Passed</x:v>
      </x:c>
      <x:c r="H23" s="61" t="str">
        <x:v>Pending</x:v>
      </x:c>
      <x:c r="I23" s="61" t="str">
        <x:v>Pending</x:v>
      </x:c>
      <x:c r="J23" s="61" t="str">
        <x:v>In Progress</x:v>
      </x:c>
      <x:c r="K23" s="37" t="str">
        <x:v>Host domain implementation plus Python tests; B04/B05 route tests, F09 notice test, F14 summary test and TEST exclusion.</x:v>
      </x:c>
      <x:c r="L23" s="37" t="str">
        <x:v>Domain routing passes; real Web Push, worker lease, retry/jitter and phone delivery tests remain.</x:v>
      </x:c>
    </x:row>
    <x:row r="24" ht="63" customHeight="1">
      <x:c r="A24" s="69" t="str">
        <x:v>B06</x:v>
      </x:c>
      <x:c r="B24" s="37" t="str">
        <x:v>Backend</x:v>
      </x:c>
      <x:c r="C24" s="37" t="str">
        <x:v>Fleet/config</x:v>
      </x:c>
      <x:c r="D24" s="61" t="str">
        <x:v>Complete</x:v>
      </x:c>
      <x:c r="E24" s="61" t="str">
        <x:v>Complete</x:v>
      </x:c>
      <x:c r="F24" s="61" t="str">
        <x:v>Complete</x:v>
      </x:c>
      <x:c r="G24" s="61" t="str">
        <x:v>Passed</x:v>
      </x:c>
      <x:c r="H24" s="61" t="str">
        <x:v>Pending</x:v>
      </x:c>
      <x:c r="I24" s="61" t="str">
        <x:v>Pending</x:v>
      </x:c>
      <x:c r="J24" s="61" t="str">
        <x:v>In Progress</x:v>
      </x:c>
      <x:c r="K24" s="37" t="str">
        <x:v>Host domain implementation plus Python tests; test_B06_config_version_and_device_binding.</x:v>
      </x:c>
      <x:c r="L24" s="37" t="str">
        <x:v>Version semantics pass; PostgreSQL, one-use claim, signed manifest publication and cohort rollout remain.</x:v>
      </x:c>
    </x:row>
    <x:row r="25" ht="63" customHeight="1">
      <x:c r="A25" s="69" t="str">
        <x:v>B07</x:v>
      </x:c>
      <x:c r="B25" s="37" t="str">
        <x:v>Backend</x:v>
      </x:c>
      <x:c r="C25" s="37" t="str">
        <x:v>Read models/API</x:v>
      </x:c>
      <x:c r="D25" s="61" t="str">
        <x:v>Complete</x:v>
      </x:c>
      <x:c r="E25" s="61" t="str">
        <x:v>Complete</x:v>
      </x:c>
      <x:c r="F25" s="61" t="str">
        <x:v>Complete</x:v>
      </x:c>
      <x:c r="G25" s="61" t="str">
        <x:v>Passed</x:v>
      </x:c>
      <x:c r="H25" s="61" t="str">
        <x:v>Pending</x:v>
      </x:c>
      <x:c r="I25" s="61" t="str">
        <x:v>Pending</x:v>
      </x:c>
      <x:c r="J25" s="61" t="str">
        <x:v>In Progress</x:v>
      </x:c>
      <x:c r="K25" s="37" t="str">
        <x:v>Host domain implementation plus Python tests; test_B07_B08_snapshot_separates_activity_from_reachability.</x:v>
      </x:c>
      <x:c r="L25" s="37" t="str">
        <x:v>Projection logic passes; pagination, SSE, OpenAPI conformance and React integration remain.</x:v>
      </x:c>
    </x:row>
    <x:row r="26" ht="63" customHeight="1">
      <x:c r="A26" s="69" t="str">
        <x:v>B08</x:v>
      </x:c>
      <x:c r="B26" s="37" t="str">
        <x:v>Backend</x:v>
      </x:c>
      <x:c r="C26" s="37" t="str">
        <x:v>Operations/data</x:v>
      </x:c>
      <x:c r="D26" s="61" t="str">
        <x:v>Complete</x:v>
      </x:c>
      <x:c r="E26" s="61" t="str">
        <x:v>Complete</x:v>
      </x:c>
      <x:c r="F26" s="61" t="str">
        <x:v>Complete</x:v>
      </x:c>
      <x:c r="G26" s="61" t="str">
        <x:v>Passed</x:v>
      </x:c>
      <x:c r="H26" s="61" t="str">
        <x:v>Pending</x:v>
      </x:c>
      <x:c r="I26" s="61" t="str">
        <x:v>Pending</x:v>
      </x:c>
      <x:c r="J26" s="61" t="str">
        <x:v>In Progress</x:v>
      </x:c>
      <x:c r="K26" s="37" t="str">
        <x:v>Host domain implementation plus Python tests; B07/B08 snapshot test and diagnostics assertions.</x:v>
      </x:c>
      <x:c r="L26" s="37" t="str">
        <x:v>Host observability passes; PostgreSQL retention/export, independent uptime and restore drill remain.</x:v>
      </x:c>
    </x:row>
    <x:row r="27" ht="63" customHeight="1">
      <x:c r="A27" s="69" t="str">
        <x:v>A01</x:v>
      </x:c>
      <x:c r="B27" s="37" t="str">
        <x:v>Caregiver app</x:v>
      </x:c>
      <x:c r="C27" s="37" t="str">
        <x:v>App onboarding</x:v>
      </x:c>
      <x:c r="D27" s="61" t="str">
        <x:v>Complete</x:v>
      </x:c>
      <x:c r="E27" s="61" t="str">
        <x:v>Complete</x:v>
      </x:c>
      <x:c r="F27" s="61" t="str">
        <x:v>Complete</x:v>
      </x:c>
      <x:c r="G27" s="61" t="str">
        <x:v>Passed</x:v>
      </x:c>
      <x:c r="H27" s="61" t="str">
        <x:v>Pending</x:v>
      </x:c>
      <x:c r="I27" s="61" t="str">
        <x:v>Pending</x:v>
      </x:c>
      <x:c r="J27" s="61" t="str">
        <x:v>In Progress</x:v>
      </x:c>
      <x:c r="K27" s="37" t="str">
        <x:v>Framework-neutral browser logic plus Node tests; Node tests: onboarding validation and installation gate.</x:v>
      </x:c>
      <x:c r="L27" s="37" t="str">
        <x:v>Domain/UI model passes; React form, QR claim, accessibility and real phone workflow remain.</x:v>
      </x:c>
    </x:row>
    <x:row r="28" ht="63" customHeight="1">
      <x:c r="A28" s="69" t="str">
        <x:v>A02</x:v>
      </x:c>
      <x:c r="B28" s="37" t="str">
        <x:v>Caregiver app</x:v>
      </x:c>
      <x:c r="C28" s="37" t="str">
        <x:v>App home</x:v>
      </x:c>
      <x:c r="D28" s="61" t="str">
        <x:v>Complete</x:v>
      </x:c>
      <x:c r="E28" s="61" t="str">
        <x:v>Complete</x:v>
      </x:c>
      <x:c r="F28" s="61" t="str">
        <x:v>Complete</x:v>
      </x:c>
      <x:c r="G28" s="61" t="str">
        <x:v>Passed</x:v>
      </x:c>
      <x:c r="H28" s="61" t="str">
        <x:v>Pending</x:v>
      </x:c>
      <x:c r="I28" s="61" t="str">
        <x:v>Pending</x:v>
      </x:c>
      <x:c r="J28" s="61" t="str">
        <x:v>In Progress</x:v>
      </x:c>
      <x:c r="K28" s="37" t="str">
        <x:v>Framework-neutral browser logic plus Node tests; Home-view separation test; static responsive prototype included.</x:v>
      </x:c>
      <x:c r="L28" s="37" t="str">
        <x:v>View-model tests pass; React/PWA accessibility, localization and supported-phone tests remain.</x:v>
      </x:c>
    </x:row>
    <x:row r="29" ht="63" customHeight="1">
      <x:c r="A29" s="69" t="str">
        <x:v>A03</x:v>
      </x:c>
      <x:c r="B29" s="37" t="str">
        <x:v>Caregiver app</x:v>
      </x:c>
      <x:c r="C29" s="37" t="str">
        <x:v>App routines</x:v>
      </x:c>
      <x:c r="D29" s="61" t="str">
        <x:v>Complete</x:v>
      </x:c>
      <x:c r="E29" s="61" t="str">
        <x:v>Complete</x:v>
      </x:c>
      <x:c r="F29" s="61" t="str">
        <x:v>Complete</x:v>
      </x:c>
      <x:c r="G29" s="61" t="str">
        <x:v>Passed</x:v>
      </x:c>
      <x:c r="H29" s="61" t="str">
        <x:v>Pending</x:v>
      </x:c>
      <x:c r="I29" s="61" t="str">
        <x:v>Pending</x:v>
      </x:c>
      <x:c r="J29" s="61" t="str">
        <x:v>In Progress</x:v>
      </x:c>
      <x:c r="K29" s="37" t="str">
        <x:v>Framework-neutral browser logic plus Node tests; Routine command and desired/applied status test.</x:v>
      </x:c>
      <x:c r="L29" s="37" t="str">
        <x:v>Pure UI logic passes; screen, timezone boundary preview and backend persistence remain.</x:v>
      </x:c>
    </x:row>
    <x:row r="30" ht="63" customHeight="1">
      <x:c r="A30" s="69" t="str">
        <x:v>A04</x:v>
      </x:c>
      <x:c r="B30" s="37" t="str">
        <x:v>Caregiver app</x:v>
      </x:c>
      <x:c r="C30" s="37" t="str">
        <x:v>App incidents</x:v>
      </x:c>
      <x:c r="D30" s="61" t="str">
        <x:v>Complete</x:v>
      </x:c>
      <x:c r="E30" s="61" t="str">
        <x:v>Complete</x:v>
      </x:c>
      <x:c r="F30" s="61" t="str">
        <x:v>Complete</x:v>
      </x:c>
      <x:c r="G30" s="61" t="str">
        <x:v>Passed</x:v>
      </x:c>
      <x:c r="H30" s="61" t="str">
        <x:v>Pending</x:v>
      </x:c>
      <x:c r="I30" s="61" t="str">
        <x:v>Pending</x:v>
      </x:c>
      <x:c r="J30" s="61" t="str">
        <x:v>In Progress</x:v>
      </x:c>
      <x:c r="K30" s="37" t="str">
        <x:v>Framework-neutral browser logic plus Node tests; Incident ownership/action and command-path test.</x:v>
      </x:c>
      <x:c r="L30" s="37" t="str">
        <x:v>View/action rules pass; optimistic-pending UI, SSE reconciliation and caregiver comprehension remain.</x:v>
      </x:c>
    </x:row>
    <x:row r="31" ht="63" customHeight="1">
      <x:c r="A31" s="69" t="str">
        <x:v>A05</x:v>
      </x:c>
      <x:c r="B31" s="37" t="str">
        <x:v>Caregiver app</x:v>
      </x:c>
      <x:c r="C31" s="37" t="str">
        <x:v>App platform</x:v>
      </x:c>
      <x:c r="D31" s="61" t="str">
        <x:v>Complete</x:v>
      </x:c>
      <x:c r="E31" s="61" t="str">
        <x:v>Complete</x:v>
      </x:c>
      <x:c r="F31" s="61" t="str">
        <x:v>Complete</x:v>
      </x:c>
      <x:c r="G31" s="61" t="str">
        <x:v>Passed</x:v>
      </x:c>
      <x:c r="H31" s="61" t="str">
        <x:v>Pending</x:v>
      </x:c>
      <x:c r="I31" s="61" t="str">
        <x:v>Pending</x:v>
      </x:c>
      <x:c r="J31" s="61" t="str">
        <x:v>In Progress</x:v>
      </x:c>
      <x:c r="K31" s="37" t="str">
        <x:v>Framework-neutral browser logic plus Node tests; Cache and push capability test.</x:v>
      </x:c>
      <x:c r="L31" s="37" t="str">
        <x:v>Framework-neutral adapter passes; OIDC SDK, service worker push handler, IndexedDB and real browser tests remain.</x:v>
      </x:c>
    </x:row>
    <x:row r="32" ht="63" customHeight="1">
      <x:c r="A32" s="69" t="str">
        <x:v>S01</x:v>
      </x:c>
      <x:c r="B32" s="37" t="str">
        <x:v>Shared</x:v>
      </x:c>
      <x:c r="C32" s="37" t="str">
        <x:v>Shared contracts</x:v>
      </x:c>
      <x:c r="D32" s="61" t="str">
        <x:v>Complete</x:v>
      </x:c>
      <x:c r="E32" s="61" t="str">
        <x:v>Complete</x:v>
      </x:c>
      <x:c r="F32" s="61" t="str">
        <x:v>Complete</x:v>
      </x:c>
      <x:c r="G32" s="61" t="str">
        <x:v>Passed</x:v>
      </x:c>
      <x:c r="H32" s="61" t="str">
        <x:v>Pending</x:v>
      </x:c>
      <x:c r="I32" s="61" t="str">
        <x:v>Pending</x:v>
      </x:c>
      <x:c r="J32" s="61" t="str">
        <x:v>In Progress</x:v>
      </x:c>
      <x:c r="K32" s="37" t="str">
        <x:v>Three JSON schemas and OpenAPI surface pass contract verification.</x:v>
      </x:c>
      <x:c r="L32" s="37" t="str">
        <x:v>Source contracts pass; CBOR CDDL/generated C++/Python/TypeScript bindings and golden vectors remain.</x:v>
      </x:c>
    </x:row>
    <x:row r="33" ht="63" customHeight="1">
      <x:c r="A33" s="69" t="str">
        <x:v>S02</x:v>
      </x:c>
      <x:c r="B33" s="37" t="str">
        <x:v>Shared</x:v>
      </x:c>
      <x:c r="C33" s="37" t="str">
        <x:v>Deterministic rules core</x:v>
      </x:c>
      <x:c r="D33" s="61" t="str">
        <x:v>Complete</x:v>
      </x:c>
      <x:c r="E33" s="61" t="str">
        <x:v>Complete</x:v>
      </x:c>
      <x:c r="F33" s="61" t="str">
        <x:v>Complete</x:v>
      </x:c>
      <x:c r="G33" s="61" t="str">
        <x:v>Passed</x:v>
      </x:c>
      <x:c r="H33" s="61" t="str">
        <x:v>Pending</x:v>
      </x:c>
      <x:c r="I33" s="61" t="str">
        <x:v>Pending</x:v>
      </x:c>
      <x:c r="J33" s="61" t="str">
        <x:v>In Progress</x:v>
      </x:c>
      <x:c r="K33" s="37" t="str">
        <x:v>Portable C++ host implementation; C++ rule tests and HubRuntime composition.</x:v>
      </x:c>
      <x:c r="L33" s="37" t="str">
        <x:v>Host reducer passes; scenario-property, reorder and reboot checkpoint tests remain.</x:v>
      </x:c>
    </x:row>
    <x:row r="34" ht="63" customHeight="1">
      <x:c r="A34" s="69" t="str">
        <x:v>S03</x:v>
      </x:c>
      <x:c r="B34" s="37" t="str">
        <x:v>Shared</x:v>
      </x:c>
      <x:c r="C34" s="37" t="str">
        <x:v>Firmware security/update</x:v>
      </x:c>
      <x:c r="D34" s="61" t="str">
        <x:v>Complete</x:v>
      </x:c>
      <x:c r="E34" s="61" t="str">
        <x:v>Complete</x:v>
      </x:c>
      <x:c r="F34" s="61" t="str">
        <x:v>Complete</x:v>
      </x:c>
      <x:c r="G34" s="61" t="str">
        <x:v>Passed</x:v>
      </x:c>
      <x:c r="H34" s="61" t="str">
        <x:v>Pending</x:v>
      </x:c>
      <x:c r="I34" s="61" t="str">
        <x:v>Pending</x:v>
      </x:c>
      <x:c r="J34" s="61" t="str">
        <x:v>In Progress</x:v>
      </x:c>
      <x:c r="K34" s="37" t="str">
        <x:v>Portable C++ host implementation; C++ tests cover install, rollback, revoke and manifest policy.</x:v>
      </x:c>
      <x:c r="L34" s="37" t="str">
        <x:v>Policy passes; protected NVS/secure element, real SHA-256/ECDSA, secure boot and rollback recovery remain.</x:v>
      </x:c>
    </x:row>
    <x:row r="35" ht="63" customHeight="1">
      <x:c r="A35" s="69" t="str">
        <x:v>T01</x:v>
      </x:c>
      <x:c r="B35" s="37" t="str">
        <x:v>Test / Ops</x:v>
      </x:c>
      <x:c r="C35" s="37" t="str">
        <x:v>Simulation/CI</x:v>
      </x:c>
      <x:c r="D35" s="61" t="str">
        <x:v>Complete</x:v>
      </x:c>
      <x:c r="E35" s="61" t="str">
        <x:v>Complete</x:v>
      </x:c>
      <x:c r="F35" s="61" t="str">
        <x:v>Complete</x:v>
      </x:c>
      <x:c r="G35" s="61" t="str">
        <x:v>Passed</x:v>
      </x:c>
      <x:c r="H35" s="61" t="str">
        <x:v>Pending</x:v>
      </x:c>
      <x:c r="I35" s="61" t="str">
        <x:v>Pending</x:v>
      </x:c>
      <x:c r="J35" s="61" t="str">
        <x:v>In Progress</x:v>
      </x:c>
      <x:c r="K35" s="37" t="str">
        <x:v>make verify passed on 2026-09-08: contracts, strict C++17, simulator, Python and Node suites.</x:v>
      </x:c>
      <x:c r="L35" s="37" t="str">
        <x:v>Current host suite green; add CI runner, fuzz/property tests and coverage thresholds.</x:v>
      </x:c>
    </x:row>
    <x:row r="36" ht="63" customHeight="1">
      <x:c r="A36" s="69" t="str">
        <x:v>T02</x:v>
      </x:c>
      <x:c r="B36" s="37" t="str">
        <x:v>Test / Ops</x:v>
      </x:c>
      <x:c r="C36" s="37" t="str">
        <x:v>Hardware-in-loop tools</x:v>
      </x:c>
      <x:c r="D36" s="61" t="str">
        <x:v>Complete</x:v>
      </x:c>
      <x:c r="E36" s="61" t="str">
        <x:v>Complete</x:v>
      </x:c>
      <x:c r="F36" s="61" t="str">
        <x:v>Partial</x:v>
      </x:c>
      <x:c r="G36" s="61" t="str">
        <x:v>Partial</x:v>
      </x:c>
      <x:c r="H36" s="61" t="str">
        <x:v>Pending</x:v>
      </x:c>
      <x:c r="I36" s="61" t="str">
        <x:v>Pending</x:v>
      </x:c>
      <x:c r="J36" s="61" t="str">
        <x:v>In Progress</x:v>
      </x:c>
      <x:c r="K36" s="37" t="str">
        <x:v>HIL-safe planning and measurement scaffolding exists; no physical run evidence yet.</x:v>
      </x:c>
      <x:c r="L36" s="37" t="str">
        <x:v>Host tooling exists; serial adapter, fault injector, power instrument and installed-home run are required.</x:v>
      </x:c>
    </x:row>
    <x:row r="37" ht="63" customHeight="1">
      <x:c r="A37" s="70" t="str">
        <x:v>T03</x:v>
      </x:c>
      <x:c r="B37" s="38" t="str">
        <x:v>Test / Ops</x:v>
      </x:c>
      <x:c r="C37" s="38" t="str">
        <x:v>Deployment/operations</x:v>
      </x:c>
      <x:c r="D37" s="62" t="str">
        <x:v>Complete</x:v>
      </x:c>
      <x:c r="E37" s="62" t="str">
        <x:v>Complete</x:v>
      </x:c>
      <x:c r="F37" s="62" t="str">
        <x:v>Partial</x:v>
      </x:c>
      <x:c r="G37" s="62" t="str">
        <x:v>Partial</x:v>
      </x:c>
      <x:c r="H37" s="62" t="str">
        <x:v>Pending</x:v>
      </x:c>
      <x:c r="I37" s="62" t="str">
        <x:v>Pending</x:v>
      </x:c>
      <x:c r="J37" s="62" t="str">
        <x:v>In Progress</x:v>
      </x:c>
      <x:c r="K37" s="38" t="str">
        <x:v>Deployment, broker, alert and runbook examples exist; no live staging evidence yet.</x:v>
      </x:c>
      <x:c r="L37" s="38" t="str">
        <x:v>Examples complete; staging deployment, secret store, migrations, external monitoring and restore evidence remain.</x:v>
      </x:c>
    </x:row>
  </x:sheetData>
  <x:mergeCells>
    <x:mergeCell ref="A1:L1"/>
    <x:mergeCell ref="A2:L2"/>
    <x:mergeCell ref="A4:L4"/>
  </x:mergeCells>
  <x:conditionalFormatting sqref="D6:D37">
    <x:cfRule type="containsText" dxfId="152" priority="1" operator="containsText" text="Complete"/>
    <x:cfRule type="containsText" dxfId="153" priority="2" operator="containsText" text="Passed"/>
    <x:cfRule type="containsText" dxfId="154" priority="3" operator="containsText" text="Partial"/>
    <x:cfRule type="containsText" dxfId="155" priority="4" operator="containsText" text="In Progress"/>
    <x:cfRule type="containsText" dxfId="156" priority="5" operator="containsText" text="Pending"/>
    <x:cfRule type="containsText" dxfId="157" priority="6" operator="containsText" text="Not Started"/>
    <x:cfRule type="containsText" dxfId="158" priority="7" operator="containsText" text="Blocked"/>
    <x:cfRule type="containsText" dxfId="159" priority="8" operator="containsText" text="Failed"/>
  </x:conditionalFormatting>
  <x:conditionalFormatting sqref="E6:E37">
    <x:cfRule type="containsText" dxfId="160" priority="9" operator="containsText" text="Complete"/>
    <x:cfRule type="containsText" dxfId="161" priority="10" operator="containsText" text="Passed"/>
    <x:cfRule type="containsText" dxfId="162" priority="11" operator="containsText" text="Partial"/>
    <x:cfRule type="containsText" dxfId="163" priority="12" operator="containsText" text="In Progress"/>
    <x:cfRule type="containsText" dxfId="164" priority="13" operator="containsText" text="Pending"/>
    <x:cfRule type="containsText" dxfId="165" priority="14" operator="containsText" text="Not Started"/>
    <x:cfRule type="containsText" dxfId="166" priority="15" operator="containsText" text="Blocked"/>
    <x:cfRule type="containsText" dxfId="167" priority="16" operator="containsText" text="Failed"/>
  </x:conditionalFormatting>
  <x:conditionalFormatting sqref="F6:F37">
    <x:cfRule type="containsText" dxfId="168" priority="17" operator="containsText" text="Complete"/>
    <x:cfRule type="containsText" dxfId="169" priority="18" operator="containsText" text="Passed"/>
    <x:cfRule type="containsText" dxfId="170" priority="19" operator="containsText" text="Partial"/>
    <x:cfRule type="containsText" dxfId="171" priority="20" operator="containsText" text="In Progress"/>
    <x:cfRule type="containsText" dxfId="172" priority="21" operator="containsText" text="Pending"/>
    <x:cfRule type="containsText" dxfId="173" priority="22" operator="containsText" text="Not Started"/>
    <x:cfRule type="containsText" dxfId="174" priority="23" operator="containsText" text="Blocked"/>
    <x:cfRule type="containsText" dxfId="175" priority="24" operator="containsText" text="Failed"/>
  </x:conditionalFormatting>
  <x:conditionalFormatting sqref="G6:G37">
    <x:cfRule type="containsText" dxfId="176" priority="25" operator="containsText" text="Complete"/>
    <x:cfRule type="containsText" dxfId="177" priority="26" operator="containsText" text="Passed"/>
    <x:cfRule type="containsText" dxfId="178" priority="27" operator="containsText" text="Partial"/>
    <x:cfRule type="containsText" dxfId="179" priority="28" operator="containsText" text="In Progress"/>
    <x:cfRule type="containsText" dxfId="180" priority="29" operator="containsText" text="Pending"/>
    <x:cfRule type="containsText" dxfId="181" priority="30" operator="containsText" text="Not Started"/>
    <x:cfRule type="containsText" dxfId="182" priority="31" operator="containsText" text="Blocked"/>
    <x:cfRule type="containsText" dxfId="183" priority="32" operator="containsText" text="Failed"/>
  </x:conditionalFormatting>
  <x:conditionalFormatting sqref="H6:H37">
    <x:cfRule type="containsText" dxfId="184" priority="33" operator="containsText" text="Complete"/>
    <x:cfRule type="containsText" dxfId="185" priority="34" operator="containsText" text="Passed"/>
    <x:cfRule type="containsText" dxfId="186" priority="35" operator="containsText" text="Partial"/>
    <x:cfRule type="containsText" dxfId="187" priority="36" operator="containsText" text="In Progress"/>
    <x:cfRule type="containsText" dxfId="188" priority="37" operator="containsText" text="Pending"/>
    <x:cfRule type="containsText" dxfId="189" priority="38" operator="containsText" text="Not Started"/>
    <x:cfRule type="containsText" dxfId="190" priority="39" operator="containsText" text="Blocked"/>
    <x:cfRule type="containsText" dxfId="191" priority="40" operator="containsText" text="Failed"/>
  </x:conditionalFormatting>
  <x:conditionalFormatting sqref="I6:I37">
    <x:cfRule type="containsText" dxfId="192" priority="41" operator="containsText" text="Complete"/>
    <x:cfRule type="containsText" dxfId="193" priority="42" operator="containsText" text="Passed"/>
    <x:cfRule type="containsText" dxfId="194" priority="43" operator="containsText" text="Partial"/>
    <x:cfRule type="containsText" dxfId="195" priority="44" operator="containsText" text="In Progress"/>
    <x:cfRule type="containsText" dxfId="196" priority="45" operator="containsText" text="Pending"/>
    <x:cfRule type="containsText" dxfId="197" priority="46" operator="containsText" text="Not Started"/>
    <x:cfRule type="containsText" dxfId="198" priority="47" operator="containsText" text="Blocked"/>
    <x:cfRule type="containsText" dxfId="199" priority="48" operator="containsText" text="Failed"/>
  </x:conditionalFormatting>
  <x:conditionalFormatting sqref="J6:J37">
    <x:cfRule type="containsText" dxfId="200" priority="49" operator="containsText" text="Complete"/>
    <x:cfRule type="containsText" dxfId="201" priority="50" operator="containsText" text="Passed"/>
    <x:cfRule type="containsText" dxfId="202" priority="51" operator="containsText" text="Partial"/>
    <x:cfRule type="containsText" dxfId="203" priority="52" operator="containsText" text="In Progress"/>
    <x:cfRule type="containsText" dxfId="204" priority="53" operator="containsText" text="Pending"/>
    <x:cfRule type="containsText" dxfId="205" priority="54" operator="containsText" text="Not Started"/>
    <x:cfRule type="containsText" dxfId="206" priority="55" operator="containsText" text="Blocked"/>
    <x:cfRule type="containsText" dxfId="207" priority="56" operator="containsText" text="Failed"/>
  </x:conditionalFormatting>
  <x:dataValidations count="7">
    <x:dataValidation type="list" sqref="D6:D37">
      <x:formula1>"Complete,Passed,Partial,In Progress,Pending,Not Started,Blocked,Failed"</x:formula1>
    </x:dataValidation>
    <x:dataValidation type="list" sqref="E6:E37">
      <x:formula1>"Complete,Passed,Partial,In Progress,Pending,Not Started,Blocked,Failed"</x:formula1>
    </x:dataValidation>
    <x:dataValidation type="list" sqref="F6:F37">
      <x:formula1>"Complete,Passed,Partial,In Progress,Pending,Not Started,Blocked,Failed"</x:formula1>
    </x:dataValidation>
    <x:dataValidation type="list" sqref="G6:G37">
      <x:formula1>"Complete,Passed,Partial,In Progress,Pending,Not Started,Blocked,Failed"</x:formula1>
    </x:dataValidation>
    <x:dataValidation type="list" sqref="H6:H37">
      <x:formula1>"Complete,Passed,Partial,In Progress,Pending,Not Started,Blocked,Failed"</x:formula1>
    </x:dataValidation>
    <x:dataValidation type="list" sqref="I6:I37">
      <x:formula1>"Complete,Passed,Partial,In Progress,Pending,Not Started,Blocked,Failed"</x:formula1>
    </x:dataValidation>
    <x:dataValidation type="list" sqref="J6:J37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1.670000076293945" hidden="0" customWidth="1"/>
    <x:col min="3" max="3" width="19.440000534057617" hidden="0" customWidth="1"/>
    <x:col min="4" max="4" width="40" hidden="0" customWidth="1"/>
    <x:col min="5" max="5" width="36.66999816894531" hidden="0" customWidth="1"/>
    <x:col min="6" max="6" width="40" hidden="0" customWidth="1"/>
    <x:col min="7" max="7" width="43.33000183105469" hidden="0" customWidth="1"/>
    <x:col min="8" max="8" width="10.220000267028809" hidden="0" customWidth="1"/>
  </x:cols>
  <x:sheetData>
    <x:row r="1" ht="25.5" customHeight="1">
      <x:c r="A1" s="3" t="str">
        <x:v>Low-Level Design — Interfaces and State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Source paths, public interface, owned state and I/O boundary for every logical module.</x:v>
      </x:c>
      <x:c r="B2" s="7"/>
      <x:c r="C2" s="7"/>
      <x:c r="D2" s="7"/>
      <x:c r="E2" s="7"/>
      <x:c r="F2" s="7"/>
      <x:c r="G2" s="7"/>
      <x:c r="H2" s="7"/>
    </x:row>
    <x:row r="5" ht="30" customHeight="1">
      <x:c r="A5" s="25" t="str">
        <x:v>ID</x:v>
      </x:c>
      <x:c r="B5" s="25" t="str">
        <x:v>Layer</x:v>
      </x:c>
      <x:c r="C5" s="25" t="str">
        <x:v>Module</x:v>
      </x:c>
      <x:c r="D5" s="25" t="str">
        <x:v>Source files</x:v>
      </x:c>
      <x:c r="E5" s="25" t="str">
        <x:v>API / public surface</x:v>
      </x:c>
      <x:c r="F5" s="25" t="str">
        <x:v>Owned state</x:v>
      </x:c>
      <x:c r="G5" s="25" t="str">
        <x:v>Inputs → outputs</x:v>
      </x:c>
      <x:c r="H5" s="25" t="str">
        <x:v>LLD status</x:v>
      </x:c>
    </x:row>
    <x:row r="6" ht="78" customHeight="1">
      <x:c r="A6" s="68" t="str">
        <x:v>N01</x:v>
      </x:c>
      <x:c r="B6" s="36" t="str">
        <x:v>Node firmware</x:v>
      </x:c>
      <x:c r="C6" s="36" t="str">
        <x:v>Node sensing</x:v>
      </x:c>
      <x:c r="D6" s="36" t="str">
        <x:v>firmware/node/components/sensing/sensing.hpp, sensing.cpp</x:v>
      </x:c>
      <x:c r="E6" s="36" t="str">
        <x:v>QualifiedInput::sample(raw_level, now_ms); stable_level()</x:v>
      </x:c>
      <x:c r="F6" s="36" t="str">
        <x:v>raw/stable level, edge timestamp, debounce and retrigger clocks</x:v>
      </x:c>
      <x:c r="G6" s="36" t="str">
        <x:v>Raw PIR/reed level → optional qualified Motion/DoorOpen/DoorClosed event kind</x:v>
      </x:c>
      <x:c r="H6" s="60" t="str">
        <x:v>Complete</x:v>
      </x:c>
    </x:row>
    <x:row r="7" ht="78" customHeight="1">
      <x:c r="A7" s="69" t="str">
        <x:v>N02</x:v>
      </x:c>
      <x:c r="B7" s="37" t="str">
        <x:v>Node firmware</x:v>
      </x:c>
      <x:c r="C7" s="37" t="str">
        <x:v>Node radio</x:v>
      </x:c>
      <x:c r="D7" s="37" t="str">
        <x:v>firmware/node/components/radio/node_radio.hpp, node_radio.cpp</x:v>
      </x:c>
      <x:c r="E7" s="37" t="str">
        <x:v>enqueue(); next_due(); record_transport_result(); apply_ack()</x:v>
      </x:c>
      <x:c r="F7" s="37" t="str">
        <x:v>bounded PendingTx deque, attempt count and next-attempt deadline</x:v>
      </x:c>
      <x:c r="G7" s="37" t="str">
        <x:v>DomainEvent + application ACK → scheduled transmissions / retired entries</x:v>
      </x:c>
      <x:c r="H7" s="61" t="str">
        <x:v>Complete</x:v>
      </x:c>
    </x:row>
    <x:row r="8" ht="78" customHeight="1">
      <x:c r="A8" s="69" t="str">
        <x:v>N03</x:v>
      </x:c>
      <x:c r="B8" s="37" t="str">
        <x:v>Node firmware</x:v>
      </x:c>
      <x:c r="C8" s="37" t="str">
        <x:v>Node power</x:v>
      </x:c>
      <x:c r="D8" s="37" t="str">
        <x:v>firmware/node/components/power/power.hpp, power.cpp</x:v>
      </x:c>
      <x:c r="E8" s="37" t="str">
        <x:v>PowerPolicy::classify(); PowerPolicy::plan()</x:v>
      </x:c>
      <x:c r="F8" s="37" t="str">
        <x:v>No mutable ownership; thresholds are explicit policy inputs/constants</x:v>
      </x:c>
      <x:c r="G8" s="37" t="str">
        <x:v>Calibrated millivolts + pending work + NodeConfig → BatteryReading and SleepPlan</x:v>
      </x:c>
      <x:c r="H8" s="61" t="str">
        <x:v>Complete</x:v>
      </x:c>
    </x:row>
    <x:row r="9" ht="78" customHeight="1">
      <x:c r="A9" s="69" t="str">
        <x:v>N04</x:v>
      </x:c>
      <x:c r="B9" s="37" t="str">
        <x:v>Node firmware</x:v>
      </x:c>
      <x:c r="C9" s="37" t="str">
        <x:v>Node lifecycle</x:v>
      </x:c>
      <x:c r="D9" s="37" t="str">
        <x:v>firmware/node/components/lifecycle/lifecycle.hpp, lifecycle.cpp</x:v>
      </x:c>
      <x:c r="E9" s="37" t="str">
        <x:v>LifecycleService::apply(); open_service_window(); service_window_open()</x:v>
      </x:c>
      <x:c r="F9" s="37" t="str">
        <x:v>active NodeConfig and physical-service-window deadline</x:v>
      </x:c>
      <x:c r="G9" s="37" t="str">
        <x:v>Versioned NodeConfig / physical action → atomic applied config or reason</x:v>
      </x:c>
      <x:c r="H9" s="61" t="str">
        <x:v>Complete</x:v>
      </x:c>
    </x:row>
    <x:row r="10" ht="78" customHeight="1">
      <x:c r="A10" s="69" t="str">
        <x:v>N05</x:v>
      </x:c>
      <x:c r="B10" s="37" t="str">
        <x:v>Node firmware</x:v>
      </x:c>
      <x:c r="C10" s="37" t="str">
        <x:v>Node storage</x:v>
      </x:c>
      <x:c r="D10" s="37" t="str">
        <x:v>firmware/node/components/storage/node_store.hpp, node_store.cpp</x:v>
      </x:c>
      <x:c r="E10" s="37" t="str">
        <x:v>NodeStore::append(); acknowledge(); oldest()</x:v>
      </x:c>
      <x:c r="F10" s="37" t="str">
        <x:v>bounded business-event deque and explicit gap-marker flag</x:v>
      </x:c>
      <x:c r="G10" s="37" t="str">
        <x:v>Business DomainEvent + ACK → retained/released event or overflow signal</x:v>
      </x:c>
      <x:c r="H10" s="61" t="str">
        <x:v>Complete</x:v>
      </x:c>
    </x:row>
    <x:row r="11" ht="78" customHeight="1">
      <x:c r="A11" s="69" t="str">
        <x:v>H01</x:v>
      </x:c>
      <x:c r="B11" s="37" t="str">
        <x:v>Hub firmware</x:v>
      </x:c>
      <x:c r="C11" s="37" t="str">
        <x:v>Hub ingest</x:v>
      </x:c>
      <x:c r="D11" s="37" t="str">
        <x:v>firmware/hub/components/ingest/ingest.hpp, ingest.cpp</x:v>
      </x:c>
      <x:c r="E11" s="37" t="str">
        <x:v>PeerRegistry::authorize/accepts; IngestQueue::callback_copy/pop</x:v>
      </x:c>
      <x:c r="F11" s="37" t="str">
        <x:v>authorized source→session map, bounded ingress deque and rejection count</x:v>
      </x:c>
      <x:c r="G11" s="37" t="str">
        <x:v>Radio callback DomainEvent → admitted fixed-value mailbox entry</x:v>
      </x:c>
      <x:c r="H11" s="61" t="str">
        <x:v>Complete</x:v>
      </x:c>
    </x:row>
    <x:row r="12" ht="78" customHeight="1">
      <x:c r="A12" s="69" t="str">
        <x:v>H02</x:v>
      </x:c>
      <x:c r="B12" s="37" t="str">
        <x:v>Hub firmware</x:v>
      </x:c>
      <x:c r="C12" s="37" t="str">
        <x:v>Hub persistence</x:v>
      </x:c>
      <x:c r="D12" s="37" t="str">
        <x:v>firmware/hub/components/storage/journal.hpp, journal.cpp</x:v>
      </x:c>
      <x:c r="E12" s="37" t="str">
        <x:v>HubJournal::commit(); pending_cloud(); acknowledge_cloud(); contains()</x:v>
      </x:c>
      <x:c r="F12" s="37" t="str">
        <x:v>bounded ordered records, event-ID set and application-ACK set</x:v>
      </x:c>
      <x:c r="G12" s="37" t="str">
        <x:v>DomainEvent → Stored/Duplicate/Full; committed records → cloud outbox batch</x:v>
      </x:c>
      <x:c r="H12" s="61" t="str">
        <x:v>Complete</x:v>
      </x:c>
    </x:row>
    <x:row r="13" ht="78" customHeight="1">
      <x:c r="A13" s="69" t="str">
        <x:v>H03</x:v>
      </x:c>
      <x:c r="B13" s="37" t="str">
        <x:v>Hub firmware</x:v>
      </x:c>
      <x:c r="C13" s="37" t="str">
        <x:v>Hub time</x:v>
      </x:c>
      <x:c r="D13" s="37" t="str">
        <x:v>firmware/hub/components/time/clock.hpp, clock.cpp</x:v>
      </x:c>
      <x:c r="E13" s="37" t="str">
        <x:v>TrustedClock::anchor(); estimate(); valid_for_absence()</x:v>
      </x:c>
      <x:c r="F13" s="37" t="str">
        <x:v>trusted server anchor, monotonic anchor and uncertainty</x:v>
      </x:c>
      <x:c r="G13" s="37" t="str">
        <x:v>Authenticated time anchor + monotonic now → earliest/latest wall-time estimate and trust</x:v>
      </x:c>
      <x:c r="H13" s="61" t="str">
        <x:v>Complete</x:v>
      </x:c>
    </x:row>
    <x:row r="14" ht="78" customHeight="1">
      <x:c r="A14" s="69" t="str">
        <x:v>H04</x:v>
      </x:c>
      <x:c r="B14" s="37" t="str">
        <x:v>Hub firmware</x:v>
      </x:c>
      <x:c r="C14" s="37" t="str">
        <x:v>Hub coverage</x:v>
      </x:c>
      <x:c r="D14" s="37" t="str">
        <x:v>firmware/hub/components/coverage/coverage.hpp, coverage.cpp</x:v>
      </x:c>
      <x:c r="E14" s="37" t="str">
        <x:v>require_node(); observe(); set_sensor_fault(); current(); reasons()</x:v>
      </x:c>
      <x:c r="F14" s="37" t="str">
        <x:v>required-node set and per-node last contact, battery and fault</x:v>
      </x:c>
      <x:c r="G14" s="37" t="str">
        <x:v>Heartbeat/business contact + lease clock → Covered/Unknown/Fault and reason list</x:v>
      </x:c>
      <x:c r="H14" s="61" t="str">
        <x:v>Complete</x:v>
      </x:c>
    </x:row>
    <x:row r="15" ht="78" customHeight="1">
      <x:c r="A15" s="69" t="str">
        <x:v>H05</x:v>
      </x:c>
      <x:c r="B15" s="37" t="str">
        <x:v>Hub firmware</x:v>
      </x:c>
      <x:c r="C15" s="37" t="str">
        <x:v>Hub rules adapter</x:v>
      </x:c>
      <x:c r="D15" s="37" t="str">
        <x:v>firmware/hub/components/rules/routine_service.hpp, routine_service.cpp</x:v>
      </x:c>
      <x:c r="E15" s="37" t="str">
        <x:v>start_window(); set_coverage(); apply(); deadline()</x:v>
      </x:c>
      <x:c r="F15" s="37" t="str">
        <x:v>one RoutineConfig and RoutineState owned by the hub state task</x:v>
      </x:c>
      <x:c r="G15" s="37" t="str">
        <x:v>Committed event / deadline / coverage → evidence state or stable incident decision</x:v>
      </x:c>
      <x:c r="H15" s="61" t="str">
        <x:v>Complete</x:v>
      </x:c>
    </x:row>
    <x:row r="16" ht="78" customHeight="1">
      <x:c r="A16" s="69" t="str">
        <x:v>H06</x:v>
      </x:c>
      <x:c r="B16" s="37" t="str">
        <x:v>Hub firmware</x:v>
      </x:c>
      <x:c r="C16" s="37" t="str">
        <x:v>Hub resident interface</x:v>
      </x:c>
      <x:c r="D16" s="37" t="str">
        <x:v>firmware/hub/components/ui/resident_ui.hpp, resident_ui.cpp</x:v>
      </x:c>
      <x:c r="E16" s="37" t="str">
        <x:v>ResidentUi::make_action(); feedback_for()</x:v>
      </x:c>
      <x:c r="F16" s="37" t="str">
        <x:v>Stateless command builder; physical debounce belongs to GPIO adapter</x:v>
      </x:c>
      <x:c r="G16" s="37" t="str">
        <x:v>OK/Call/Privacy action → durable DomainEvent and local feedback code/text</x:v>
      </x:c>
      <x:c r="H16" s="61" t="str">
        <x:v>Complete</x:v>
      </x:c>
    </x:row>
    <x:row r="17" ht="78" customHeight="1">
      <x:c r="A17" s="69" t="str">
        <x:v>H07</x:v>
      </x:c>
      <x:c r="B17" s="37" t="str">
        <x:v>Hub firmware</x:v>
      </x:c>
      <x:c r="C17" s="37" t="str">
        <x:v>Hub lifecycle/config</x:v>
      </x:c>
      <x:c r="D17" s="37" t="str">
        <x:v>firmware/hub/components/lifecycle/config_service.hpp, config_service.cpp</x:v>
      </x:c>
      <x:c r="E17" s="37" t="str">
        <x:v>ConfigService::apply(); active()</x:v>
      </x:c>
      <x:c r="F17" s="37" t="str">
        <x:v>active immutable HomeConfig snapshot and applied version</x:v>
      </x:c>
      <x:c r="G17" s="37" t="str">
        <x:v>Desired HomeConfig → applied version or rejection reason</x:v>
      </x:c>
      <x:c r="H17" s="61" t="str">
        <x:v>Complete</x:v>
      </x:c>
    </x:row>
    <x:row r="18" ht="78" customHeight="1">
      <x:c r="A18" s="69" t="str">
        <x:v>H08</x:v>
      </x:c>
      <x:c r="B18" s="37" t="str">
        <x:v>Hub firmware</x:v>
      </x:c>
      <x:c r="C18" s="37" t="str">
        <x:v>Hub cloud link</x:v>
      </x:c>
      <x:c r="D18" s="37" t="str">
        <x:v>firmware/hub/components/cloud/cloud_sync.hpp, cloud_sync.cpp</x:v>
      </x:c>
      <x:c r="E18" s="37" t="str">
        <x:v>set_connected(); next_batch(); application_commit_ack(); record_failure()</x:v>
      </x:c>
      <x:c r="F18" s="37" t="str">
        <x:v>connection flag, failure count and retry-after deadline; journal owns payload</x:v>
      </x:c>
      <x:c r="G18" s="37" t="str">
        <x:v>Committed outbox + connection/ACK → prioritized batch and retirement</x:v>
      </x:c>
      <x:c r="H18" s="61" t="str">
        <x:v>Complete</x:v>
      </x:c>
    </x:row>
    <x:row r="19" ht="78" customHeight="1">
      <x:c r="A19" s="69" t="str">
        <x:v>B01</x:v>
      </x:c>
      <x:c r="B19" s="37" t="str">
        <x:v>Backend</x:v>
      </x:c>
      <x:c r="C19" s="37" t="str">
        <x:v>Identity/access</x:v>
      </x:c>
      <x:c r="D19" s="37" t="str">
        <x:v>backend/ghar_sajag/identity.py</x:v>
      </x:c>
      <x:c r="E19" s="37" t="str">
        <x:v>IdentityService.grant/revoke/require</x:v>
      </x:c>
      <x:c r="F19" s="37" t="str">
        <x:v>Membership rows keyed by (home_id, actor_id), active flag and expiry</x:v>
      </x:c>
      <x:c r="G19" s="37" t="str">
        <x:v>Verified actor claim + home + permission → membership or AuthorizationError</x:v>
      </x:c>
      <x:c r="H19" s="61" t="str">
        <x:v>Complete</x:v>
      </x:c>
    </x:row>
    <x:row r="20" ht="78" customHeight="1">
      <x:c r="A20" s="69" t="str">
        <x:v>B02</x:v>
      </x:c>
      <x:c r="B20" s="37" t="str">
        <x:v>Backend</x:v>
      </x:c>
      <x:c r="C20" s="37" t="str">
        <x:v>Home/consent</x:v>
      </x:c>
      <x:c r="D20" s="37" t="str">
        <x:v>backend/ghar_sajag/homes.py</x:v>
      </x:c>
      <x:c r="E20" s="37" t="str">
        <x:v>HomeService.create/set_caregivers/set_mode/withdraw_resident_consent</x:v>
      </x:c>
      <x:c r="F20" s="37" t="str">
        <x:v>Home, resident consents, caregiver route, mode and version</x:v>
      </x:c>
      <x:c r="G20" s="37" t="str">
        <x:v>Owner commands → validated home/configuration changes and audit</x:v>
      </x:c>
      <x:c r="H20" s="61" t="str">
        <x:v>Complete</x:v>
      </x:c>
    </x:row>
    <x:row r="21" ht="78" customHeight="1">
      <x:c r="A21" s="69" t="str">
        <x:v>B03</x:v>
      </x:c>
      <x:c r="B21" s="37" t="str">
        <x:v>Backend</x:v>
      </x:c>
      <x:c r="C21" s="37" t="str">
        <x:v>Event ingestion</x:v>
      </x:c>
      <x:c r="D21" s="37" t="str">
        <x:v>backend/ghar_sajag/ingest.py</x:v>
      </x:c>
      <x:c r="E21" s="37" t="str">
        <x:v>IngestService.accept()</x:v>
      </x:c>
      <x:c r="F21" s="37" t="str">
        <x:v>CloudEvent dictionary keyed by (home_id, event_id)</x:v>
      </x:c>
      <x:c r="G21" s="37" t="str">
        <x:v>Validated CloudEvent → (stored event, duplicate flag)</x:v>
      </x:c>
      <x:c r="H21" s="61" t="str">
        <x:v>Complete</x:v>
      </x:c>
    </x:row>
    <x:row r="22" ht="78" customHeight="1">
      <x:c r="A22" s="69" t="str">
        <x:v>B04</x:v>
      </x:c>
      <x:c r="B22" s="37" t="str">
        <x:v>Backend</x:v>
      </x:c>
      <x:c r="C22" s="37" t="str">
        <x:v>Incident workflow</x:v>
      </x:c>
      <x:c r="D22" s="37" t="str">
        <x:v>backend/ghar_sajag/incidents.py</x:v>
      </x:c>
      <x:c r="E22" s="37" t="str">
        <x:v>IncidentService.create/claim/acknowledge/resolve</x:v>
      </x:c>
      <x:c r="F22" s="37" t="str">
        <x:v>Incident plus stable-key index, owner and lease</x:v>
      </x:c>
      <x:c r="G22" s="37" t="str">
        <x:v>Hub incident intent / caregiver command → idempotent incident transition</x:v>
      </x:c>
      <x:c r="H22" s="61" t="str">
        <x:v>Complete</x:v>
      </x:c>
    </x:row>
    <x:row r="23" ht="78" customHeight="1">
      <x:c r="A23" s="69" t="str">
        <x:v>B05</x:v>
      </x:c>
      <x:c r="B23" s="37" t="str">
        <x:v>Backend</x:v>
      </x:c>
      <x:c r="C23" s="37" t="str">
        <x:v>Notification routing</x:v>
      </x:c>
      <x:c r="D23" s="37" t="str">
        <x:v>backend/ghar_sajag/notifications.py</x:v>
      </x:c>
      <x:c r="E23" s="37" t="str">
        <x:v>schedule_for_incident(); due(); provider_result(); human_acknowledged(); create_door_notice(); build_daily_summary()</x:v>
      </x:c>
      <x:c r="F23" s="37" t="str">
        <x:v>unique stage jobs, provider state, advisory notices and one-per-day summary keys</x:v>
      </x:c>
      <x:c r="G23" s="37" t="str">
        <x:v>Incident/event/window projection → primary/backup jobs, opt-in advisory or summary</x:v>
      </x:c>
      <x:c r="H23" s="61" t="str">
        <x:v>Complete</x:v>
      </x:c>
    </x:row>
    <x:row r="24" ht="78" customHeight="1">
      <x:c r="A24" s="69" t="str">
        <x:v>B06</x:v>
      </x:c>
      <x:c r="B24" s="37" t="str">
        <x:v>Backend</x:v>
      </x:c>
      <x:c r="C24" s="37" t="str">
        <x:v>Fleet/config</x:v>
      </x:c>
      <x:c r="D24" s="37" t="str">
        <x:v>backend/ghar_sajag/fleet.py</x:v>
      </x:c>
      <x:c r="E24" s="37" t="str">
        <x:v>register_device(); publish_config(); record_applied()</x:v>
      </x:c>
      <x:c r="F24" s="37" t="str">
        <x:v>device registry and latest desired/applied configuration</x:v>
      </x:c>
      <x:c r="G24" s="37" t="str">
        <x:v>Owner/install command or hub ACK → device/config version state</x:v>
      </x:c>
      <x:c r="H24" s="61" t="str">
        <x:v>Complete</x:v>
      </x:c>
    </x:row>
    <x:row r="25" ht="78" customHeight="1">
      <x:c r="A25" s="69" t="str">
        <x:v>B07</x:v>
      </x:c>
      <x:c r="B25" s="37" t="str">
        <x:v>Backend</x:v>
      </x:c>
      <x:c r="C25" s="37" t="str">
        <x:v>Read models/API</x:v>
      </x:c>
      <x:c r="D25" s="37" t="str">
        <x:v>backend/ghar_sajag/queries.py, http_api.py</x:v>
      </x:c>
      <x:c r="E25" s="37" t="str">
        <x:v>QueryService.snapshot/timeline; JsonApi.dispatch/WSGI</x:v>
      </x:c>
      <x:c r="F25" s="37" t="str">
        <x:v>Derived view only; source facts remain in store</x:v>
      </x:c>
      <x:c r="G25" s="37" t="str">
        <x:v>Authorized read + events/incidents → dashboard snapshot/timeline JSON</x:v>
      </x:c>
      <x:c r="H25" s="61" t="str">
        <x:v>Complete</x:v>
      </x:c>
    </x:row>
    <x:row r="26" ht="78" customHeight="1">
      <x:c r="A26" s="69" t="str">
        <x:v>B08</x:v>
      </x:c>
      <x:c r="B26" s="37" t="str">
        <x:v>Backend</x:v>
      </x:c>
      <x:c r="C26" s="37" t="str">
        <x:v>Operations/data</x:v>
      </x:c>
      <x:c r="D26" s="37" t="str">
        <x:v>backend/ghar_sajag/operations.py, store.py</x:v>
      </x:c>
      <x:c r="E26" s="37" t="str">
        <x:v>hub_health(); diagnostics(); record_support_action()</x:v>
      </x:c>
      <x:c r="F26" s="37" t="str">
        <x:v>audit trail plus counts and independent hub lease</x:v>
      </x:c>
      <x:c r="G26" s="37" t="str">
        <x:v>Events/actions/current time → health, diagnostics and auditable support record</x:v>
      </x:c>
      <x:c r="H26" s="61" t="str">
        <x:v>Complete</x:v>
      </x:c>
    </x:row>
    <x:row r="27" ht="78" customHeight="1">
      <x:c r="A27" s="69" t="str">
        <x:v>A01</x:v>
      </x:c>
      <x:c r="B27" s="37" t="str">
        <x:v>Caregiver app</x:v>
      </x:c>
      <x:c r="C27" s="37" t="str">
        <x:v>App onboarding</x:v>
      </x:c>
      <x:c r="D27" s="37" t="str">
        <x:v>app/src/features/onboarding/index.mjs</x:v>
      </x:c>
      <x:c r="E27" s="37" t="str">
        <x:v>validateHouseholdDraft(); buildCreateHomeCommand(); installationGate()</x:v>
      </x:c>
      <x:c r="F27" s="37" t="str">
        <x:v>Pure draft/result values; no hidden authoritative state</x:v>
      </x:c>
      <x:c r="G27" s="37" t="str">
        <x:v>Household draft and install evidence → validation errors, API command, pilot eligibility</x:v>
      </x:c>
      <x:c r="H27" s="61" t="str">
        <x:v>Complete</x:v>
      </x:c>
    </x:row>
    <x:row r="28" ht="78" customHeight="1">
      <x:c r="A28" s="69" t="str">
        <x:v>A02</x:v>
      </x:c>
      <x:c r="B28" s="37" t="str">
        <x:v>Caregiver app</x:v>
      </x:c>
      <x:c r="C28" s="37" t="str">
        <x:v>App home</x:v>
      </x:c>
      <x:c r="D28" s="37" t="str">
        <x:v>app/src/features/home/index.mjs, app/public/*</x:v>
      </x:c>
      <x:c r="E28" s="37" t="str">
        <x:v>formatFreshness(); buildHomeView(); timelineLabel()</x:v>
      </x:c>
      <x:c r="F28" s="37" t="str">
        <x:v>Rendered projection only; optional A05 cache</x:v>
      </x:c>
      <x:c r="G28" s="37" t="str">
        <x:v>Backend snapshot/timeline + phone now → evidence/connectivity cards</x:v>
      </x:c>
      <x:c r="H28" s="61" t="str">
        <x:v>Complete</x:v>
      </x:c>
    </x:row>
    <x:row r="29" ht="78" customHeight="1">
      <x:c r="A29" s="69" t="str">
        <x:v>A03</x:v>
      </x:c>
      <x:c r="B29" s="37" t="str">
        <x:v>Caregiver app</x:v>
      </x:c>
      <x:c r="C29" s="37" t="str">
        <x:v>App routines</x:v>
      </x:c>
      <x:c r="D29" s="37" t="str">
        <x:v>app/src/features/routines/index.mjs</x:v>
      </x:c>
      <x:c r="E29" s="37" t="str">
        <x:v>validateMorningRoutine(); buildDesiredConfig(); configStatus()</x:v>
      </x:c>
      <x:c r="F29" s="37" t="str">
        <x:v>Desired draft and server/applied versions</x:v>
      </x:c>
      <x:c r="G29" s="37" t="str">
        <x:v>Schedule/mode form → schema-aligned desired configuration and status</x:v>
      </x:c>
      <x:c r="H29" s="61" t="str">
        <x:v>Complete</x:v>
      </x:c>
    </x:row>
    <x:row r="30" ht="78" customHeight="1">
      <x:c r="A30" s="69" t="str">
        <x:v>A04</x:v>
      </x:c>
      <x:c r="B30" s="37" t="str">
        <x:v>Caregiver app</x:v>
      </x:c>
      <x:c r="C30" s="37" t="str">
        <x:v>App incidents</x:v>
      </x:c>
      <x:c r="D30" s="37" t="str">
        <x:v>app/src/features/incidents/index.mjs</x:v>
      </x:c>
      <x:c r="E30" s="37" t="str">
        <x:v>incidentActions(); actionCommand(); deliveryLabel()</x:v>
      </x:c>
      <x:c r="F30" s="37" t="str">
        <x:v>Server incident snapshot and pending client command only</x:v>
      </x:c>
      <x:c r="G30" s="37" t="str">
        <x:v>Incident/actor/time → permitted actions and idempotent REST command</x:v>
      </x:c>
      <x:c r="H30" s="61" t="str">
        <x:v>Complete</x:v>
      </x:c>
    </x:row>
    <x:row r="31" ht="78" customHeight="1">
      <x:c r="A31" s="69" t="str">
        <x:v>A05</x:v>
      </x:c>
      <x:c r="B31" s="37" t="str">
        <x:v>Caregiver app</x:v>
      </x:c>
      <x:c r="C31" s="37" t="str">
        <x:v>App platform</x:v>
      </x:c>
      <x:c r="D31" s="37" t="str">
        <x:v>app/src/platform/index.mjs, app/public/service-worker.mjs</x:v>
      </x:c>
      <x:c r="E31" s="37" t="str">
        <x:v>ApiClient.request(); VersionedCache.put/get(); pushCapability(); classifyFetchFailure()</x:v>
      </x:c>
      <x:c r="F31" s="37" t="str">
        <x:v>Versioned local cache; browser subscription state</x:v>
      </x:c>
      <x:c r="G31" s="37" t="str">
        <x:v>Injected fetch/token + command → JSON result/error; cached snapshot → explicit stale flag</x:v>
      </x:c>
      <x:c r="H31" s="61" t="str">
        <x:v>Complete</x:v>
      </x:c>
    </x:row>
    <x:row r="32" ht="78" customHeight="1">
      <x:c r="A32" s="69" t="str">
        <x:v>S01</x:v>
      </x:c>
      <x:c r="B32" s="37" t="str">
        <x:v>Shared</x:v>
      </x:c>
      <x:c r="C32" s="37" t="str">
        <x:v>Shared contracts</x:v>
      </x:c>
      <x:c r="D32" s="37" t="str">
        <x:v>contracts/node.schema.json, cloud.schema.json, config.schema.json, openapi.yaml; scripts/verify_contracts.py</x:v>
      </x:c>
      <x:c r="E32" s="37" t="str">
        <x:v>Schema v1 fields and OpenAPI operation IDs</x:v>
      </x:c>
      <x:c r="F32" s="37" t="str">
        <x:v>Versioned source files only</x:v>
      </x:c>
      <x:c r="G32" s="37" t="str">
        <x:v>Producer payload → structural acceptance or explicit schema/version rejection</x:v>
      </x:c>
      <x:c r="H32" s="61" t="str">
        <x:v>Complete</x:v>
      </x:c>
    </x:row>
    <x:row r="33" ht="78" customHeight="1">
      <x:c r="A33" s="69" t="str">
        <x:v>S02</x:v>
      </x:c>
      <x:c r="B33" s="37" t="str">
        <x:v>Shared</x:v>
      </x:c>
      <x:c r="C33" s="37" t="str">
        <x:v>Deterministic rules core</x:v>
      </x:c>
      <x:c r="D33" s="37" t="str">
        <x:v>shared/include/gs/rules.hpp, shared/src/rules.cpp, domain.hpp</x:v>
      </x:c>
      <x:c r="E33" s="37" t="str">
        <x:v>RulesCore::event_overlaps_window/apply_event/evaluate_deadline</x:v>
      </x:c>
      <x:c r="F33" s="37" t="str">
        <x:v>Caller-owned RoutineState; no global state or I/O</x:v>
      </x:c>
      <x:c r="G33" s="37" t="str">
        <x:v>RoutineConfig + ordered DomainEvent/deadline → deterministic state and IncidentDecision</x:v>
      </x:c>
      <x:c r="H33" s="61" t="str">
        <x:v>Complete</x:v>
      </x:c>
    </x:row>
    <x:row r="34" ht="78" customHeight="1">
      <x:c r="A34" s="69" t="str">
        <x:v>S03</x:v>
      </x:c>
      <x:c r="B34" s="37" t="str">
        <x:v>Shared</x:v>
      </x:c>
      <x:c r="C34" s="37" t="str">
        <x:v>Firmware security/update</x:v>
      </x:c>
      <x:c r="D34" s="37" t="str">
        <x:v>firmware/common/security/security.hpp, security.cpp</x:v>
      </x:c>
      <x:c r="E34" s="37" t="str">
        <x:v>CredentialRegistry::install/revoke/get; UpdatePolicy::validate</x:v>
      </x:c>
      <x:c r="F34" s="37" t="str">
        <x:v>versioned credential references; no raw secret bytes; running version supplied</x:v>
      </x:c>
      <x:c r="G34" s="37" t="str">
        <x:v>Credential/update manifest + verifier → install/reject decision with reason</x:v>
      </x:c>
      <x:c r="H34" s="61" t="str">
        <x:v>Complete</x:v>
      </x:c>
    </x:row>
    <x:row r="35" ht="78" customHeight="1">
      <x:c r="A35" s="69" t="str">
        <x:v>T01</x:v>
      </x:c>
      <x:c r="B35" s="37" t="str">
        <x:v>Test / Ops</x:v>
      </x:c>
      <x:c r="C35" s="37" t="str">
        <x:v>Simulation/CI</x:v>
      </x:c>
      <x:c r="D35" s="37" t="str">
        <x:v>Makefile, tests/cpp/test_main.cpp, tests/python/test_backend.py, tests/js/app.test.mjs, tests/scenarios.json, host/simulator/main.cpp</x:v>
      </x:c>
      <x:c r="E35" s="37" t="str">
        <x:v>make verify</x:v>
      </x:c>
      <x:c r="F35" s="37" t="str">
        <x:v>Deterministic fixtures and executable assertions</x:v>
      </x:c>
      <x:c r="G35" s="37" t="str">
        <x:v>Source tree → contract/build/test/simulator result</x:v>
      </x:c>
      <x:c r="H35" s="61" t="str">
        <x:v>Complete</x:v>
      </x:c>
    </x:row>
    <x:row r="36" ht="78" customHeight="1">
      <x:c r="A36" s="69" t="str">
        <x:v>T02</x:v>
      </x:c>
      <x:c r="B36" s="37" t="str">
        <x:v>Test / Ops</x:v>
      </x:c>
      <x:c r="C36" s="37" t="str">
        <x:v>Hardware-in-loop tools</x:v>
      </x:c>
      <x:c r="D36" s="37" t="str">
        <x:v>tools/hil/provision.py, runner.py, power_profile.py, installation_checklist.md</x:v>
      </x:c>
      <x:c r="E36" s="37" t="str">
        <x:v>build_plan(); InstallationRun.observe/result(); summarize()</x:v>
      </x:c>
      <x:c r="F36" s="37" t="str">
        <x:v>Provisioning plan, required/pass/fail check set and current capture statistics</x:v>
      </x:c>
      <x:c r="G36" s="37" t="str">
        <x:v>Kit IDs / physical observations / current CSV → redacted plan, eligibility, power summary</x:v>
      </x:c>
      <x:c r="H36" s="61" t="str">
        <x:v>Complete</x:v>
      </x:c>
    </x:row>
    <x:row r="37" ht="78" customHeight="1">
      <x:c r="A37" s="70" t="str">
        <x:v>T03</x:v>
      </x:c>
      <x:c r="B37" s="38" t="str">
        <x:v>Test / Ops</x:v>
      </x:c>
      <x:c r="C37" s="38" t="str">
        <x:v>Deployment/operations</x:v>
      </x:c>
      <x:c r="D37" s="38" t="str">
        <x:v>ops/compose.yaml, mosquitto.conf, broker_acl.conf, alerts.yaml, runbook.md</x:v>
      </x:c>
      <x:c r="E37" s="38" t="str">
        <x:v>Container/broker configuration and operator procedures</x:v>
      </x:c>
      <x:c r="F37" s="38" t="str">
        <x:v>PostgreSQL volume, broker persistence, alert/routing state outside application domain</x:v>
      </x:c>
      <x:c r="G37" s="38" t="str">
        <x:v>Deployment secrets/certs/images → regional pilot services and independent alerts</x:v>
      </x:c>
      <x:c r="H37" s="62" t="str">
        <x:v>Complete</x:v>
      </x:c>
    </x:row>
  </x:sheetData>
  <x:mergeCells>
    <x:mergeCell ref="A1:H1"/>
    <x:mergeCell ref="A2:H2"/>
  </x:mergeCells>
  <x:conditionalFormatting sqref="H6:H37">
    <x:cfRule type="containsText" dxfId="208" priority="1" operator="containsText" text="Complete"/>
    <x:cfRule type="containsText" dxfId="209" priority="2" operator="containsText" text="Passed"/>
    <x:cfRule type="containsText" dxfId="210" priority="3" operator="containsText" text="Partial"/>
    <x:cfRule type="containsText" dxfId="211" priority="4" operator="containsText" text="In Progress"/>
    <x:cfRule type="containsText" dxfId="212" priority="5" operator="containsText" text="Pending"/>
    <x:cfRule type="containsText" dxfId="213" priority="6" operator="containsText" text="Not Started"/>
    <x:cfRule type="containsText" dxfId="214" priority="7" operator="containsText" text="Blocked"/>
    <x:cfRule type="containsText" dxfId="215" priority="8" operator="containsText" text="Failed"/>
  </x:conditionalFormatting>
  <x:dataValidations count="1">
    <x:dataValidation type="list" sqref="H6:H37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1.670000076293945" hidden="0" customWidth="1"/>
    <x:col min="3" max="3" width="19.440000534057617" hidden="0" customWidth="1"/>
    <x:col min="4" max="4" width="43.33000183105469" hidden="0" customWidth="1"/>
    <x:col min="5" max="5" width="43.33000183105469" hidden="0" customWidth="1"/>
    <x:col min="6" max="6" width="36.66999816894531" hidden="0" customWidth="1"/>
    <x:col min="7" max="7" width="43.33000183105469" hidden="0" customWidth="1"/>
    <x:col min="8" max="8" width="36.66999816894531" hidden="0" customWidth="1"/>
    <x:col min="9" max="9" width="10.220000267028809" hidden="0" customWidth="1"/>
  </x:cols>
  <x:sheetData>
    <x:row r="1" ht="25.5" customHeight="1">
      <x:c r="A1" s="3" t="str">
        <x:v>Low-Level Design — Behavior, Failure and Exit</x:v>
      </x:c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7" t="str">
        <x:v>Code flow, failure semantics, test evidence, target exit criterion and enhancement boundary for every module.</x:v>
      </x:c>
      <x:c r="B2" s="7"/>
      <x:c r="C2" s="7"/>
      <x:c r="D2" s="7"/>
      <x:c r="E2" s="7"/>
      <x:c r="F2" s="7"/>
      <x:c r="G2" s="7"/>
      <x:c r="H2" s="7"/>
      <x:c r="I2" s="7"/>
    </x:row>
    <x:row r="5" ht="30" customHeight="1">
      <x:c r="A5" s="25" t="str">
        <x:v>ID</x:v>
      </x:c>
      <x:c r="B5" s="25" t="str">
        <x:v>Layer</x:v>
      </x:c>
      <x:c r="C5" s="25" t="str">
        <x:v>Module</x:v>
      </x:c>
      <x:c r="D5" s="25" t="str">
        <x:v>Code flow</x:v>
      </x:c>
      <x:c r="E5" s="25" t="str">
        <x:v>Failure behavior</x:v>
      </x:c>
      <x:c r="F5" s="25" t="str">
        <x:v>Host test evidence</x:v>
      </x:c>
      <x:c r="G5" s="25" t="str">
        <x:v>Target exit criterion</x:v>
      </x:c>
      <x:c r="H5" s="25" t="str">
        <x:v>Further enhancement</x:v>
      </x:c>
      <x:c r="I5" s="25" t="str">
        <x:v>LLD status</x:v>
      </x:c>
    </x:row>
    <x:row r="6" ht="87" customHeight="1">
      <x:c r="A6" s="68" t="str">
        <x:v>N01</x:v>
      </x:c>
      <x:c r="B6" s="36" t="str">
        <x:v>Node firmware</x:v>
      </x:c>
      <x:c r="C6" s="36" t="str">
        <x:v>Node sensing</x:v>
      </x:c>
      <x:c r="D6" s="36" t="str">
        <x:v>Initialize without emitting; record raw edge; require stability for debounce interval; enforce retrigger interval; emit only a qualified transition.</x:v>
      </x:c>
      <x:c r="E6" s="36" t="str">
        <x:v>Bounce and repeated PIR holds are suppressed. Initial level is state, not an invented event. Queueing and persistence happen outside this module.</x:v>
      </x:c>
      <x:c r="F6" s="36" t="str">
        <x:v>tests/cpp/test_main.cpp: initial, bounce and stable-rise checks</x:v>
      </x:c>
      <x:c r="G6" s="36" t="str">
        <x:v>Host behavior passes; hardware exit requires voltage, warm-up, hold-time, wake-loop and placement tests.</x:v>
      </x:c>
      <x:c r="H6" s="36" t="str">
        <x:v>Per-board sensor adapters, supervised wiring and measured false-trigger diagnostics.</x:v>
      </x:c>
      <x:c r="I6" s="60" t="str">
        <x:v>Complete</x:v>
      </x:c>
    </x:row>
    <x:row r="7" ht="87" customHeight="1">
      <x:c r="A7" s="69" t="str">
        <x:v>N02</x:v>
      </x:c>
      <x:c r="B7" s="37" t="str">
        <x:v>Node firmware</x:v>
      </x:c>
      <x:c r="C7" s="37" t="str">
        <x:v>Node radio</x:v>
      </x:c>
      <x:c r="D7" s="37" t="str">
        <x:v>Queue once; expose due item; schedule deterministic jittered retry; reject volatile ACK for business events; retire only DURABLE or policy-discard ACK.</x:v>
      </x:c>
      <x:c r="E7" s="37" t="str">
        <x:v>Full queue returns false. Radio success is not durable success. Backoff is bounded by the scheduled wake policy.</x:v>
      </x:c>
      <x:c r="F7" s="37" t="str">
        <x:v>C++ tests cover immediate send, volatile ACK retention and durable retirement</x:v>
      </x:c>
      <x:c r="G7" s="37" t="str">
        <x:v>Host retry/ACK semantics pass; ESP-NOW encryption, channel search, callback timing and loss tests remain.</x:v>
      </x:c>
      <x:c r="H7" s="37" t="str">
        <x:v>ESP-NOW adapter first; BLE/Thread transport may implement the same port later.</x:v>
      </x:c>
      <x:c r="I7" s="61" t="str">
        <x:v>Complete</x:v>
      </x:c>
    </x:row>
    <x:row r="8" ht="87" customHeight="1">
      <x:c r="A8" s="69" t="str">
        <x:v>N03</x:v>
      </x:c>
      <x:c r="B8" s="37" t="str">
        <x:v>Node firmware</x:v>
      </x:c>
      <x:c r="C8" s="37" t="str">
        <x:v>Node power</x:v>
      </x:c>
      <x:c r="D8" s="37" t="str">
        <x:v>Never convert an uncalibrated voltage to percentage; classify voltage band; shorten wake for retry; lengthen it at critical voltage; enable only configured wake sources.</x:v>
      </x:c>
      <x:c r="E8" s="37" t="str">
        <x:v>Unknown calibration stays UNKNOWN. Software thresholds do not replace cell protection or charger qualification.</x:v>
      </x:c>
      <x:c r="F8" s="37" t="str">
        <x:v>C++ tests verify low/unknown bands and retry wake plan</x:v>
      </x:c>
      <x:c r="G8" s="37" t="str">
        <x:v>Logic passes; ADC calibration, divider leakage, charge status and full current profile require hardware.</x:v>
      </x:c>
      <x:c r="H8" s="37" t="str">
        <x:v>Fuel-gauge adapter, ageing model and observed runtime forecast.</x:v>
      </x:c>
      <x:c r="I8" s="61" t="str">
        <x:v>Complete</x:v>
      </x:c>
    </x:row>
    <x:row r="9" ht="87" customHeight="1">
      <x:c r="A9" s="69" t="str">
        <x:v>N04</x:v>
      </x:c>
      <x:c r="B9" s="37" t="str">
        <x:v>Node firmware</x:v>
      </x:c>
      <x:c r="C9" s="37" t="str">
        <x:v>Node lifecycle</x:v>
      </x:c>
      <x:c r="D9" s="37" t="str">
        <x:v>Validate identity, location, enabled capability and heartbeat range; reject same/older version; replace active snapshot atomically.</x:v>
      </x:c>
      <x:c r="E9" s="37" t="str">
        <x:v>No open radio enrollment. Invalid config leaves prior version intact. Service access expires by monotonic deadline.</x:v>
      </x:c>
      <x:c r="F9" s="37" t="str">
        <x:v>C++ tests cover invalid capability, valid apply, rollback and 120-second window</x:v>
      </x:c>
      <x:c r="G9" s="37" t="str">
        <x:v>Host state transition passes; NVS atomicity, USB jig and authenticated boot registration remain.</x:v>
      </x:c>
      <x:c r="H9" s="37" t="str">
        <x:v>Signed delta configuration and controlled node firmware orchestration.</x:v>
      </x:c>
      <x:c r="I9" s="61" t="str">
        <x:v>Complete</x:v>
      </x:c>
    </x:row>
    <x:row r="10" ht="87" customHeight="1">
      <x:c r="A10" s="69" t="str">
        <x:v>N05</x:v>
      </x:c>
      <x:c r="B10" s="37" t="str">
        <x:v>Node firmware</x:v>
      </x:c>
      <x:c r="C10" s="37" t="str">
        <x:v>Node storage</x:v>
      </x:c>
      <x:c r="D10" s="37" t="str">
        <x:v>Ignore periodic heartbeat for flash journal; deduplicate; append before transmit; retire on DURABLE or DISCARDED_POLICY; signal capacity loss.</x:v>
      </x:c>
      <x:c r="E10" s="37" t="str">
        <x:v>Full store does not silently drop; gap_marker_required becomes true. Volatile ACK cannot delete business evidence.</x:v>
      </x:c>
      <x:c r="F10" s="37" t="str">
        <x:v>C++ tests cover persist-before-send and ACK class behavior; NodeRuntime composition tested</x:v>
      </x:c>
      <x:c r="G10" s="37" t="str">
        <x:v>Host semantics pass; CRC/commit-marker flash ring and interrupted-write recovery require board partitions.</x:v>
      </x:c>
      <x:c r="H10" s="37" t="str">
        <x:v>Wear-aware compaction and measured retention sizing.</x:v>
      </x:c>
      <x:c r="I10" s="61" t="str">
        <x:v>Complete</x:v>
      </x:c>
    </x:row>
    <x:row r="11" ht="87" customHeight="1">
      <x:c r="A11" s="69" t="str">
        <x:v>H01</x:v>
      </x:c>
      <x:c r="B11" s="37" t="str">
        <x:v>Hub firmware</x:v>
      </x:c>
      <x:c r="C11" s="37" t="str">
        <x:v>Hub ingest</x:v>
      </x:c>
      <x:c r="D11" s="37" t="str">
        <x:v>Authenticate source/session and sequence; copy into bounded queue; return immediately; state task later pops and processes.</x:v>
      </x:c>
      <x:c r="E11" s="37" t="str">
        <x:v>Unknown session or full queue rejects and increments observable count. Callback never writes flash or runs rules.</x:v>
      </x:c>
      <x:c r="F11" s="37" t="str">
        <x:v>C++ tests cover known/unknown peer and callback-to-worker copy</x:v>
      </x:c>
      <x:c r="G11" s="37" t="str">
        <x:v>Host admission passes; frame authentication, payload bounds and ISR/callback latency remain on ESP-IDF.</x:v>
      </x:c>
      <x:c r="H11" s="37" t="str">
        <x:v>Per-peer rate caps and captured RF diagnostics.</x:v>
      </x:c>
      <x:c r="I11" s="61" t="str">
        <x:v>Complete</x:v>
      </x:c>
    </x:row>
    <x:row r="12" ht="87" customHeight="1">
      <x:c r="A12" s="69" t="str">
        <x:v>H02</x:v>
      </x:c>
      <x:c r="B12" s="37" t="str">
        <x:v>Hub firmware</x:v>
      </x:c>
      <x:c r="C12" s="37" t="str">
        <x:v>Hub persistence</x:v>
      </x:c>
      <x:c r="D12" s="37" t="str">
        <x:v>Check event key; commit once; expose unacknowledged records; retain until backend application-commit ACK.</x:v>
      </x:c>
      <x:c r="E12" s="37" t="str">
        <x:v>Full returns Full and therefore no DURABLE node ACK. Duplicate returns committed equivalence. MQTT PUBACK is intentionally absent from retirement API.</x:v>
      </x:c>
      <x:c r="F12" s="37" t="str">
        <x:v>C++ tests cover store, duplicate, pending outbox and application ACK</x:v>
      </x:c>
      <x:c r="G12" s="37" t="str">
        <x:v>Host invariants pass; append-only flash record, CRC, checkpoint, wear and 100-cycle crash test remain.</x:v>
      </x:c>
      <x:c r="H12" s="37" t="str">
        <x:v>Priority partitions and compaction tuned to measured event volume.</x:v>
      </x:c>
      <x:c r="I12" s="61" t="str">
        <x:v>Complete</x:v>
      </x:c>
    </x:row>
    <x:row r="13" ht="87" customHeight="1">
      <x:c r="A13" s="69" t="str">
        <x:v>H03</x:v>
      </x:c>
      <x:c r="B13" s="37" t="str">
        <x:v>Hub firmware</x:v>
      </x:c>
      <x:c r="C13" s="37" t="str">
        <x:v>Hub time</x:v>
      </x:c>
      <x:c r="D13" s="37" t="str">
        <x:v>Advance from monotonic elapsed time; expand uncertainty by conservative drift; expire anchor after 72 hours; gate absence evaluation by trust and uncertainty.</x:v>
      </x:c>
      <x:c r="E13" s="37" t="str">
        <x:v>No anchor, monotonic rollback or expired anchor produces untrusted/expired state. Manual buttons remain valid elsewhere.</x:v>
      </x:c>
      <x:c r="F13" s="37" t="str">
        <x:v>C++ tests verify unanchored suppression and trusted bounded estimate</x:v>
      </x:c>
      <x:c r="G13" s="37" t="str">
        <x:v>Host math passes; authenticated exchange, reboot lower-bound and optional RTC behavior remain.</x:v>
      </x:c>
      <x:c r="H13" s="37" t="str">
        <x:v>Board-measured oscillator drift and generated DST boundary fixtures.</x:v>
      </x:c>
      <x:c r="I13" s="61" t="str">
        <x:v>Complete</x:v>
      </x:c>
    </x:row>
    <x:row r="14" ht="87" customHeight="1">
      <x:c r="A14" s="69" t="str">
        <x:v>H04</x:v>
      </x:c>
      <x:c r="B14" s="37" t="str">
        <x:v>Hub firmware</x:v>
      </x:c>
      <x:c r="C14" s="37" t="str">
        <x:v>Hub coverage</x:v>
      </x:c>
      <x:c r="D14" s="37" t="str">
        <x:v>Require only configured routine sources; refresh contact; report unknown for unseen/expired source; report fault separately from activity.</x:v>
      </x:c>
      <x:c r="E14" s="37" t="str">
        <x:v>Current recovery never erases the historical gap. A heartbeat cannot clear an explicit sensor fault.</x:v>
      </x:c>
      <x:c r="F14" s="37" t="str">
        <x:v>C++ tests cover never-seen, fresh and 190-second expired lease</x:v>
      </x:c>
      <x:c r="G14" s="37" t="str">
        <x:v>Current-state host logic passes; interval reconstruction and physical sensor-path drills remain.</x:v>
      </x:c>
      <x:c r="H14" s="37" t="str">
        <x:v>Coverage intervals, mounting-drift checks and source-specific eligibility.</x:v>
      </x:c>
      <x:c r="I14" s="61" t="str">
        <x:v>Complete</x:v>
      </x:c>
    </x:row>
    <x:row r="15" ht="87" customHeight="1">
      <x:c r="A15" s="69" t="str">
        <x:v>H05</x:v>
      </x:c>
      <x:c r="B15" s="37" t="str">
        <x:v>Hub firmware</x:v>
      </x:c>
      <x:c r="C15" s="37" t="str">
        <x:v>Hub rules adapter</x:v>
      </x:c>
      <x:c r="D15" s="37" t="str">
        <x:v>Reset on stable window ID; apply pure S02 reducer; at grace deadline require trusted time, HOME mode and Covered state; create once if no evidence.</x:v>
      </x:c>
      <x:c r="E15" s="37" t="str">
        <x:v>Unknown coverage, privacy/away/pause, test data or untrusted time suppresses missing-activity creation with a reason.</x:v>
      </x:c>
      <x:c r="F15" s="37" t="str">
        <x:v>C++ tests cover evidence, missing, duplicate deadline, coverage unknown and privacy</x:v>
      </x:c>
      <x:c r="G15" s="37" t="str">
        <x:v>Rule paths pass; full scenario replay and long-running device timer/reboot tests remain.</x:v>
      </x:c>
      <x:c r="H15" s="37" t="str">
        <x:v>Additional deterministic routines without opaque risk scores.</x:v>
      </x:c>
      <x:c r="I15" s="61" t="str">
        <x:v>Complete</x:v>
      </x:c>
    </x:row>
    <x:row r="16" ht="87" customHeight="1">
      <x:c r="A16" s="69" t="str">
        <x:v>H06</x:v>
      </x:c>
      <x:c r="B16" s="37" t="str">
        <x:v>Hub firmware</x:v>
      </x:c>
      <x:c r="C16" s="37" t="str">
        <x:v>Hub resident interface</x:v>
      </x:c>
      <x:c r="D16" s="37" t="str">
        <x:v>Map physically distinct controls to explicit event kinds; state whether action was saved locally or accepted remotely; use fixed prompt flag only.</x:v>
      </x:c>
      <x:c r="E16" s="37" t="str">
        <x:v>No microphone or generated speech. Offline Call family remains stored and explicitly says internet unavailable.</x:v>
      </x:c>
      <x:c r="F16" s="37" t="str">
        <x:v>C++ tests verify Call family event and offline wording</x:v>
      </x:c>
      <x:c r="G16" s="37" t="str">
        <x:v>Host event/feedback contract passes; buttons, latching switch, OLED/LED, audio load and resident usability remain.</x:v>
      </x:c>
      <x:c r="H16" s="37" t="str">
        <x:v>Localized fixed prompts and accessibility options after testing.</x:v>
      </x:c>
      <x:c r="I16" s="61" t="str">
        <x:v>Complete</x:v>
      </x:c>
    </x:row>
    <x:row r="17" ht="87" customHeight="1">
      <x:c r="A17" s="69" t="str">
        <x:v>H07</x:v>
      </x:c>
      <x:c r="B17" s="37" t="str">
        <x:v>Hub firmware</x:v>
      </x:c>
      <x:c r="C17" s="37" t="str">
        <x:v>Hub lifecycle/config</x:v>
      </x:c>
      <x:c r="D17" s="37" t="str">
        <x:v>Validate home/timezone and ordered window boundaries; reject same/older version; replace atomically; expose applied version.</x:v>
      </x:c>
      <x:c r="E17" s="37" t="str">
        <x:v>Invalid version never partially mutates active rules. Device update orchestration is separated by S03 policy.</x:v>
      </x:c>
      <x:c r="F17" s="37" t="str">
        <x:v>C++ tests cover valid apply and stale-version rejection</x:v>
      </x:c>
      <x:c r="G17" s="37" t="str">
        <x:v>Host atomic snapshot passes; NVS transaction, reboot restore, provisioning and OTA binding remain.</x:v>
      </x:c>
      <x:c r="H17" s="37" t="str">
        <x:v>Staged rollout, rollback health window and fleet cohort controls.</x:v>
      </x:c>
      <x:c r="I17" s="61" t="str">
        <x:v>Complete</x:v>
      </x:c>
    </x:row>
    <x:row r="18" ht="87" customHeight="1">
      <x:c r="A18" s="69" t="str">
        <x:v>H08</x:v>
      </x:c>
      <x:c r="B18" s="37" t="str">
        <x:v>Hub firmware</x:v>
      </x:c>
      <x:c r="C18" s="37" t="str">
        <x:v>Hub cloud link</x:v>
      </x:c>
      <x:c r="D18" s="37" t="str">
        <x:v>Send only when connected/due; prioritize Call family over history; use bounded reconnect schedule; retire on backend commit ACK.</x:v>
      </x:c>
      <x:c r="E18" s="37" t="str">
        <x:v>Disconnect/backoff preserves outbox. Transport ACK cannot call application_commit_ack. Original event time is unchanged.</x:v>
      </x:c>
      <x:c r="F18" s="37" t="str">
        <x:v>C++ tests cover urgent ordering and application-level retirement; simulator replays one offline record</x:v>
      </x:c>
      <x:c r="G18" s="37" t="str">
        <x:v>Host scheduling passes; Wi-Fi/TLS/MQTT, ACL, broker failure and 72-hour field replay remain.</x:v>
      </x:c>
      <x:c r="H18" s="37" t="str">
        <x:v>Cellular adapter only after cost and operational design.</x:v>
      </x:c>
      <x:c r="I18" s="61" t="str">
        <x:v>Complete</x:v>
      </x:c>
    </x:row>
    <x:row r="19" ht="87" customHeight="1">
      <x:c r="A19" s="69" t="str">
        <x:v>B01</x:v>
      </x:c>
      <x:c r="B19" s="37" t="str">
        <x:v>Backend</x:v>
      </x:c>
      <x:c r="C19" s="37" t="str">
        <x:v>Identity/access</x:v>
      </x:c>
      <x:c r="D19" s="37" t="str">
        <x:v>Resolve exact home-scoped membership; distinguish manage/read role sets; enforce expiry; audit grant/revoke.</x:v>
      </x:c>
      <x:c r="E19" s="37" t="str">
        <x:v>No global caregiver access and no serial-number authorization. Cross-home lookup fails closed.</x:v>
      </x:c>
      <x:c r="F19" s="37" t="str">
        <x:v>test_B01_F01_membership_is_tenant_scoped</x:v>
      </x:c>
      <x:c r="G19" s="37" t="str">
        <x:v>Domain policy passes; production OIDC verification, token audience/issuer and database row-level controls remain.</x:v>
      </x:c>
      <x:c r="H19" s="37" t="str">
        <x:v>Delegated care teams and support impersonation with explicit approval/audit.</x:v>
      </x:c>
      <x:c r="I19" s="61" t="str">
        <x:v>Complete</x:v>
      </x:c>
    </x:row>
    <x:row r="20" ht="87" customHeight="1">
      <x:c r="A20" s="69" t="str">
        <x:v>B02</x:v>
      </x:c>
      <x:c r="B20" s="37" t="str">
        <x:v>Backend</x:v>
      </x:c>
      <x:c r="C20" s="37" t="str">
        <x:v>Home/consent</x:v>
      </x:c>
      <x:c r="D20" s="37" t="str">
        <x:v>Require valid timezone/name and active resident consent; create owner membership; require distinct primary/backup; privacy on withdrawal.</x:v>
      </x:c>
      <x:c r="E20" s="37" t="str">
        <x:v>Duplicate home, missing consent or same backup fails. Purchase does not imply consent and PIR never identifies a resident.</x:v>
      </x:c>
      <x:c r="F20" s="37" t="str">
        <x:v>F01 role test and test_B02_consent_withdrawal_enters_privacy</x:v>
      </x:c>
      <x:c r="G20" s="37" t="str">
        <x:v>Domain state passes; invitation tokens, durable repository and deletion workflow remain.</x:v>
      </x:c>
      <x:c r="H20" s="37" t="str">
        <x:v>Multiple residents without passive identity inference.</x:v>
      </x:c>
      <x:c r="I20" s="61" t="str">
        <x:v>Complete</x:v>
      </x:c>
    </x:row>
    <x:row r="21" ht="87" customHeight="1">
      <x:c r="A21" s="69" t="str">
        <x:v>B03</x:v>
      </x:c>
      <x:c r="B21" s="37" t="str">
        <x:v>Backend</x:v>
      </x:c>
      <x:c r="C21" s="37" t="str">
        <x:v>Event ingestion</x:v>
      </x:c>
      <x:c r="D21" s="37" t="str">
        <x:v>Verify known home, event kind and timing fields; use unique event key; append audit in the same host operation.</x:v>
      </x:c>
      <x:c r="E21" s="37" t="str">
        <x:v>Unknown home/kind and invalid timing fail. Duplicate returns prior commit without another domain effect.</x:v>
      </x:c>
      <x:c r="F21" s="37" t="str">
        <x:v>test_B03_ingest_is_idempotent</x:v>
      </x:c>
      <x:c r="G21" s="37" t="str">
        <x:v>Domain idempotency passes; PostgreSQL transaction/outbox, MQTT consumer and commit ACK adapter remain.</x:v>
      </x:c>
      <x:c r="H21" s="37" t="str">
        <x:v>Partitioning and batch replay after measured load.</x:v>
      </x:c>
      <x:c r="I21" s="61" t="str">
        <x:v>Complete</x:v>
      </x:c>
    </x:row>
    <x:row r="22" ht="87" customHeight="1">
      <x:c r="A22" s="69" t="str">
        <x:v>B04</x:v>
      </x:c>
      <x:c r="B22" s="37" t="str">
        <x:v>Backend</x:v>
      </x:c>
      <x:c r="C22" s="37" t="str">
        <x:v>Incident workflow</x:v>
      </x:c>
      <x:c r="D22" s="37" t="str">
        <x:v>Create once by stable key; claim with bounded lease; prevent live dual ownership; acknowledge then explicitly resolve; audit human action.</x:v>
      </x:c>
      <x:c r="E22" s="37" t="str">
        <x:v>Closed incidents reject claim; another live owner causes conflict; home mismatch behaves as not found.</x:v>
      </x:c>
      <x:c r="F22" s="37" t="str">
        <x:v>call idempotency and test_B04_claim_lease_prevents_double_ownership</x:v>
      </x:c>
      <x:c r="G22" s="37" t="str">
        <x:v>State machine passes; database compare-and-set, HANDOFF_TO_BACKUP and concurrency load tests remain.</x:v>
      </x:c>
      <x:c r="H22" s="37" t="str">
        <x:v>Structured Contacted/Unable-to-reach outcome and professional adapter only under contract.</x:v>
      </x:c>
      <x:c r="I22" s="61" t="str">
        <x:v>Complete</x:v>
      </x:c>
    </x:row>
    <x:row r="23" ht="87" customHeight="1">
      <x:c r="A23" s="69" t="str">
        <x:v>B05</x:v>
      </x:c>
      <x:c r="B23" s="37" t="str">
        <x:v>Backend</x:v>
      </x:c>
      <x:c r="C23" s="37" t="str">
        <x:v>Notification routing</x:v>
      </x:c>
      <x:c r="D23" s="37" t="str">
        <x:v>Schedule primary now and backup at +300 s; select due open jobs; keep provider acceptance separate from human ACK; cancel pending jobs after ACK; summarize coverage honestly.</x:v>
      </x:c>
      <x:c r="E23" s="37" t="str">
        <x:v>No recipient means no invented route; tests never create production notice; a summary cannot resolve an incident; duplicate keys reuse prior intent.</x:v>
      </x:c>
      <x:c r="F23" s="37" t="str">
        <x:v>B04/B05 route tests, F09 notice test, F14 summary test and TEST exclusion</x:v>
      </x:c>
      <x:c r="G23" s="37" t="str">
        <x:v>Domain routing passes; real Web Push, worker lease, retry/jitter and phone delivery tests remain.</x:v>
      </x:c>
      <x:c r="H23" s="37" t="str">
        <x:v>Funded SMS/voice and emergency-response service only with explicit provider contract.</x:v>
      </x:c>
      <x:c r="I23" s="61" t="str">
        <x:v>Complete</x:v>
      </x:c>
    </x:row>
    <x:row r="24" ht="87" customHeight="1">
      <x:c r="A24" s="69" t="str">
        <x:v>B06</x:v>
      </x:c>
      <x:c r="B24" s="37" t="str">
        <x:v>Backend</x:v>
      </x:c>
      <x:c r="C24" s="37" t="str">
        <x:v>Fleet/config</x:v>
      </x:c>
      <x:c r="D24" s="37" t="str">
        <x:v>Authorize owner; prevent cross-home device rebind; increment desired version; record only known applied versions; audit.</x:v>
      </x:c>
      <x:c r="E24" s="37" t="str">
        <x:v>Unknown future apply and device conflict reject. Desired does not equal applied until hub reports it.</x:v>
      </x:c>
      <x:c r="F24" s="37" t="str">
        <x:v>test_B06_config_version_and_device_binding</x:v>
      </x:c>
      <x:c r="G24" s="37" t="str">
        <x:v>Version semantics pass; PostgreSQL, one-use claim, signed manifest publication and cohort rollout remain.</x:v>
      </x:c>
      <x:c r="H24" s="37" t="str">
        <x:v>Fleet cohorts, staged update and field diagnostics.</x:v>
      </x:c>
      <x:c r="I24" s="61" t="str">
        <x:v>Complete</x:v>
      </x:c>
    </x:row>
    <x:row r="25" ht="87" customHeight="1">
      <x:c r="A25" s="69" t="str">
        <x:v>B07</x:v>
      </x:c>
      <x:c r="B25" s="37" t="str">
        <x:v>Backend</x:v>
      </x:c>
      <x:c r="C25" s="37" t="str">
        <x:v>Read models/API</x:v>
      </x:c>
      <x:c r="D25" s="37" t="str">
        <x:v>Sort by original occurrence; compute hub lease from server receipts; choose latest activity independently; expose incidents and fetched time.</x:v>
      </x:c>
      <x:c r="E25" s="37" t="str">
        <x:v>Fresh phone fetch cannot make stale hub data current. Test events are excluded from production timeline.</x:v>
      </x:c>
      <x:c r="F25" s="37" t="str">
        <x:v>test_B07_B08_snapshot_separates_activity_from_reachability</x:v>
      </x:c>
      <x:c r="G25" s="37" t="str">
        <x:v>Projection logic passes; pagination, SSE, OpenAPI conformance and React integration remain.</x:v>
      </x:c>
      <x:c r="H25" s="37" t="str">
        <x:v>Materialized PostgreSQL projections and regional read replicas only when needed.</x:v>
      </x:c>
      <x:c r="I25" s="61" t="str">
        <x:v>Complete</x:v>
      </x:c>
    </x:row>
    <x:row r="26" ht="87" customHeight="1">
      <x:c r="A26" s="69" t="str">
        <x:v>B08</x:v>
      </x:c>
      <x:c r="B26" s="37" t="str">
        <x:v>Backend</x:v>
      </x:c>
      <x:c r="C26" s="37" t="str">
        <x:v>Operations/data</x:v>
      </x:c>
      <x:c r="D26" s="37" t="str">
        <x:v>Evaluate hub server-receipt lease; count each domain independently; record support actions without editing historical events.</x:v>
      </x:c>
      <x:c r="E26" s="37" t="str">
        <x:v>Broker retained online state is not authoritative. In-memory store is a host adapter, not a durable production claim.</x:v>
      </x:c>
      <x:c r="F26" s="37" t="str">
        <x:v>B07/B08 snapshot test and diagnostics assertions</x:v>
      </x:c>
      <x:c r="G26" s="37" t="str">
        <x:v>Host observability passes; PostgreSQL retention/export, independent uptime and restore drill remain.</x:v>
      </x:c>
      <x:c r="H26" s="37" t="str">
        <x:v>Privacy-preserving fleet metrics and support bundle redaction.</x:v>
      </x:c>
      <x:c r="I26" s="61" t="str">
        <x:v>Complete</x:v>
      </x:c>
    </x:row>
    <x:row r="27" ht="87" customHeight="1">
      <x:c r="A27" s="69" t="str">
        <x:v>A01</x:v>
      </x:c>
      <x:c r="B27" s="37" t="str">
        <x:v>Caregiver app</x:v>
      </x:c>
      <x:c r="C27" s="37" t="str">
        <x:v>App onboarding</x:v>
      </x:c>
      <x:c r="D27" s="37" t="str">
        <x:v>Require home/timezone/resident consent/distinct caregiver pair; construct idempotent home command; require every enabled input plus hub controls and real delivery drill.</x:v>
      </x:c>
      <x:c r="E27" s="37" t="str">
        <x:v>Missing check remains visible and blocks unattended eligibility. No default consent or inferred backup.</x:v>
      </x:c>
      <x:c r="F27" s="37" t="str">
        <x:v>Node tests: onboarding validation and installation gate</x:v>
      </x:c>
      <x:c r="G27" s="37" t="str">
        <x:v>Domain/UI model passes; React form, QR claim, accessibility and real phone workflow remain.</x:v>
      </x:c>
      <x:c r="H27" s="37" t="str">
        <x:v>Installer role UX and multilingual consent evidence.</x:v>
      </x:c>
      <x:c r="I27" s="61" t="str">
        <x:v>Complete</x:v>
      </x:c>
    </x:row>
    <x:row r="28" ht="87" customHeight="1">
      <x:c r="A28" s="69" t="str">
        <x:v>A02</x:v>
      </x:c>
      <x:c r="B28" s="37" t="str">
        <x:v>Caregiver app</x:v>
      </x:c>
      <x:c r="C28" s="37" t="str">
        <x:v>App home</x:v>
      </x:c>
      <x:c r="D28" s="37" t="str">
        <x:v>Format separate freshness; show household activity only; render hub availability independently; explicitly state no activity evidence is not presence proof.</x:v>
      </x:c>
      <x:c r="E28" s="37" t="str">
        <x:v>Stale/never-seen is visible. No safe/fine/wellbeing label and no resident identity inference.</x:v>
      </x:c>
      <x:c r="F28" s="37" t="str">
        <x:v>Home-view separation test; static responsive prototype included</x:v>
      </x:c>
      <x:c r="G28" s="37" t="str">
        <x:v>View-model tests pass; React/PWA accessibility, localization and supported-phone tests remain.</x:v>
      </x:c>
      <x:c r="H28" s="37" t="str">
        <x:v>Weekly digest and richer source explanations.</x:v>
      </x:c>
      <x:c r="I28" s="61" t="str">
        <x:v>Complete</x:v>
      </x:c>
    </x:row>
    <x:row r="29" ht="87" customHeight="1">
      <x:c r="A29" s="69" t="str">
        <x:v>A03</x:v>
      </x:c>
      <x:c r="B29" s="37" t="str">
        <x:v>Caregiver app</x:v>
      </x:c>
      <x:c r="C29" s="37" t="str">
        <x:v>App routines</x:v>
      </x:c>
      <x:c r="D29" s="37" t="str">
        <x:v>Validate minute ranges/grace; deduplicate locations; build versioned config; compare desired against applied without pretending pending succeeded.</x:v>
      </x:c>
      <x:c r="E29" s="37" t="str">
        <x:v>Invalid mode/routine throws explicit client error. Newer hub version becomes conflict, not silent overwrite.</x:v>
      </x:c>
      <x:c r="F29" s="37" t="str">
        <x:v>Routine command and desired/applied status test</x:v>
      </x:c>
      <x:c r="G29" s="37" t="str">
        <x:v>Pure UI logic passes; screen, timezone boundary preview and backend persistence remain.</x:v>
      </x:c>
      <x:c r="H29" s="37" t="str">
        <x:v>Multiple deterministic routine templates.</x:v>
      </x:c>
      <x:c r="I29" s="61" t="str">
        <x:v>Complete</x:v>
      </x:c>
    </x:row>
    <x:row r="30" ht="87" customHeight="1">
      <x:c r="A30" s="69" t="str">
        <x:v>A04</x:v>
      </x:c>
      <x:c r="B30" s="37" t="str">
        <x:v>Caregiver app</x:v>
      </x:c>
      <x:c r="C30" s="37" t="str">
        <x:v>App incidents</x:v>
      </x:c>
      <x:c r="D30" s="37" t="str">
        <x:v>Hide mutation actions when another live owner holds lease; distinguish claim, acknowledge and resolve; label provider acceptance separately.</x:v>
      </x:c>
      <x:c r="E30" s="37" t="str">
        <x:v>Offline action cannot become authoritative. Unsupported action is rejected before request.</x:v>
      </x:c>
      <x:c r="F30" s="37" t="str">
        <x:v>Incident ownership/action and command-path test</x:v>
      </x:c>
      <x:c r="G30" s="37" t="str">
        <x:v>View/action rules pass; optimistic-pending UI, SSE reconciliation and caregiver comprehension remain.</x:v>
      </x:c>
      <x:c r="H30" s="37" t="str">
        <x:v>Contact outcome and deliberate handoff UI.</x:v>
      </x:c>
      <x:c r="I30" s="61" t="str">
        <x:v>Complete</x:v>
      </x:c>
    </x:row>
    <x:row r="31" ht="87" customHeight="1">
      <x:c r="A31" s="69" t="str">
        <x:v>A05</x:v>
      </x:c>
      <x:c r="B31" s="37" t="str">
        <x:v>Caregiver app</x:v>
      </x:c>
      <x:c r="C31" s="37" t="str">
        <x:v>App platform</x:v>
      </x:c>
      <x:c r="D31" s="37" t="str">
        <x:v>Attach bearer/idempotency headers; classify auth/service/network failures; retain only newer cache versions; expose exact push capability reason.</x:v>
      </x:c>
      <x:c r="E31" s="37" t="str">
        <x:v>Cache never claims server commit. Push permission/subscription is not human acknowledgement.</x:v>
      </x:c>
      <x:c r="F31" s="37" t="str">
        <x:v>Cache and push capability test</x:v>
      </x:c>
      <x:c r="G31" s="37" t="str">
        <x:v>Framework-neutral adapter passes; OIDC SDK, service worker push handler, IndexedDB and real browser tests remain.</x:v>
      </x:c>
      <x:c r="H31" s="37" t="str">
        <x:v>Native wrapper only if PWA constraints justify it.</x:v>
      </x:c>
      <x:c r="I31" s="61" t="str">
        <x:v>Complete</x:v>
      </x:c>
    </x:row>
    <x:row r="32" ht="87" customHeight="1">
      <x:c r="A32" s="69" t="str">
        <x:v>S01</x:v>
      </x:c>
      <x:c r="B32" s="37" t="str">
        <x:v>Shared</x:v>
      </x:c>
      <x:c r="C32" s="37" t="str">
        <x:v>Shared contracts</x:v>
      </x:c>
      <x:c r="D32" s="37" t="str">
        <x:v>Keep node event identity, cloud timestamps/test flag and desired configuration version canonical; validate source structure in CI.</x:v>
      </x:c>
      <x:c r="E32" s="37" t="str">
        <x:v>Unknown additional fields fail in JSON schemas; schema change requires a new version and compatibility tests.</x:v>
      </x:c>
      <x:c r="F32" s="37" t="str">
        <x:v>make contracts verifies three required-field sets and API surface</x:v>
      </x:c>
      <x:c r="G32" s="37" t="str">
        <x:v>Source contracts pass; CBOR CDDL/generated C++/Python/TypeScript bindings and golden vectors remain.</x:v>
      </x:c>
      <x:c r="H32" s="37" t="str">
        <x:v>Generated clients and formal compatibility matrix.</x:v>
      </x:c>
      <x:c r="I32" s="61" t="str">
        <x:v>Complete</x:v>
      </x:c>
    </x:row>
    <x:row r="33" ht="87" customHeight="1">
      <x:c r="A33" s="69" t="str">
        <x:v>S02</x:v>
      </x:c>
      <x:c r="B33" s="37" t="str">
        <x:v>Shared</x:v>
      </x:c>
      <x:c r="C33" s="37" t="str">
        <x:v>Deterministic rules core</x:v>
      </x:c>
      <x:c r="D33" s="37" t="str">
        <x:v>Use uncertainty interval overlap; ignore tests; gate modes; record evidence IDs; produce stable incident key only after all eligibility gates.</x:v>
      </x:c>
      <x:c r="E33" s="37" t="str">
        <x:v>Time, coverage and mode uncertainty return a reason instead of a false incident. Same state/input is replayable.</x:v>
      </x:c>
      <x:c r="F33" s="37" t="str">
        <x:v>C++ rule tests and HubRuntime composition</x:v>
      </x:c>
      <x:c r="G33" s="37" t="str">
        <x:v>Host reducer passes; scenario-property, reorder and reboot checkpoint tests remain.</x:v>
      </x:c>
      <x:c r="H33" s="37" t="str">
        <x:v>Additional transparent rules compiled into the same host/firmware core.</x:v>
      </x:c>
      <x:c r="I33" s="61" t="str">
        <x:v>Complete</x:v>
      </x:c>
    </x:row>
    <x:row r="34" ht="87" customHeight="1">
      <x:c r="A34" s="69" t="str">
        <x:v>S03</x:v>
      </x:c>
      <x:c r="B34" s="37" t="str">
        <x:v>Shared</x:v>
      </x:c>
      <x:c r="C34" s="37" t="str">
        <x:v>Firmware security/update</x:v>
      </x:c>
      <x:c r="D34" s="37" t="str">
        <x:v>Reject missing/stale credential; match board; prevent rollback; validate hash text; delegate signature verification to injected production crypto.</x:v>
      </x:c>
      <x:c r="E34" s="37" t="str">
        <x:v>Host verifier is a seam, not cryptographic proof. Wrong board/version/hash/signature fails closed.</x:v>
      </x:c>
      <x:c r="F34" s="37" t="str">
        <x:v>C++ tests cover install, rollback, revoke and manifest policy</x:v>
      </x:c>
      <x:c r="G34" s="37" t="str">
        <x:v>Policy passes; protected NVS/secure element, real SHA-256/ECDSA, secure boot and rollback recovery remain.</x:v>
      </x:c>
      <x:c r="H34" s="37" t="str">
        <x:v>Key rotation and manufacturing HSM workflow.</x:v>
      </x:c>
      <x:c r="I34" s="61" t="str">
        <x:v>Complete</x:v>
      </x:c>
    </x:row>
    <x:row r="35" ht="87" customHeight="1">
      <x:c r="A35" s="69" t="str">
        <x:v>T01</x:v>
      </x:c>
      <x:c r="B35" s="37" t="str">
        <x:v>Test / Ops</x:v>
      </x:c>
      <x:c r="C35" s="37" t="str">
        <x:v>Simulation/CI</x:v>
      </x:c>
      <x:c r="D35" s="37" t="str">
        <x:v>Validate contracts; compile strict C++17; execute 52 checks; run simulator; run 10 Python and 6 Node tests.</x:v>
      </x:c>
      <x:c r="E35" s="37" t="str">
        <x:v>Any command returns non-zero. Report never claims RF/power/provider coverage.</x:v>
      </x:c>
      <x:c r="F35" s="37" t="str">
        <x:v>VERIFICATION_REPORT.md records the successful 7 September 2026 run</x:v>
      </x:c>
      <x:c r="G35" s="37" t="str">
        <x:v>Current host suite green; add CI runner, fuzz/property tests and coverage thresholds.</x:v>
      </x:c>
      <x:c r="H35" s="37" t="str">
        <x:v>Nightly long replay and hardware-in-loop lane.</x:v>
      </x:c>
      <x:c r="I35" s="61" t="str">
        <x:v>Complete</x:v>
      </x:c>
    </x:row>
    <x:row r="36" ht="87" customHeight="1">
      <x:c r="A36" s="69" t="str">
        <x:v>T02</x:v>
      </x:c>
      <x:c r="B36" s="37" t="str">
        <x:v>Test / Ops</x:v>
      </x:c>
      <x:c r="C36" s="37" t="str">
        <x:v>Hardware-in-loop tools</x:v>
      </x:c>
      <x:c r="D36" s="37" t="str">
        <x:v>Require four unique nodes; never print claim token; fail unknown checks; gate eligibility on every required check; summarize measured current.</x:v>
      </x:c>
      <x:c r="E36" s="37" t="str">
        <x:v>Scripts cannot prove a board action without an adapter/evidence. Sensitive plan is explicitly separated from console output.</x:v>
      </x:c>
      <x:c r="F36" s="37" t="str">
        <x:v>Syntax/import covered by backend run context; physical execution deliberately pending</x:v>
      </x:c>
      <x:c r="G36" s="37" t="str">
        <x:v>Host tooling exists; serial adapter, fault injector, power instrument and installed-home run are required.</x:v>
      </x:c>
      <x:c r="H36" s="37" t="str">
        <x:v>Automated relay/power-cycle jig and signed evidence bundle.</x:v>
      </x:c>
      <x:c r="I36" s="61" t="str">
        <x:v>Complete</x:v>
      </x:c>
    </x:row>
    <x:row r="37" ht="87" customHeight="1">
      <x:c r="A37" s="70" t="str">
        <x:v>T03</x:v>
      </x:c>
      <x:c r="B37" s="38" t="str">
        <x:v>Test / Ops</x:v>
      </x:c>
      <x:c r="C37" s="38" t="str">
        <x:v>Deployment/operations</x:v>
      </x:c>
      <x:c r="D37" s="38" t="str">
        <x:v>Use TLS client identity and topic ACL; durable broker/database; alert ingest/backlog/fleet/backup; follow idempotent recovery runbook.</x:v>
      </x:c>
      <x:c r="E37" s="38" t="str">
        <x:v>Example files omit secrets by design and are not a production deployment certificate. Restore and provider failures remain explicit.</x:v>
      </x:c>
      <x:c r="F37" s="38" t="str">
        <x:v>Configuration reviewed structurally; live broker/database/backup drill pending</x:v>
      </x:c>
      <x:c r="G37" s="38" t="str">
        <x:v>Examples complete; staging deployment, secret store, migrations, external monitoring and restore evidence remain.</x:v>
      </x:c>
      <x:c r="H37" s="38" t="str">
        <x:v>Horizontal process replicas before service decomposition.</x:v>
      </x:c>
      <x:c r="I37" s="62" t="str">
        <x:v>Complete</x:v>
      </x:c>
    </x:row>
  </x:sheetData>
  <x:mergeCells>
    <x:mergeCell ref="A1:I1"/>
    <x:mergeCell ref="A2:I2"/>
  </x:mergeCells>
  <x:conditionalFormatting sqref="I6:I37">
    <x:cfRule type="containsText" dxfId="216" priority="1" operator="containsText" text="Complete"/>
    <x:cfRule type="containsText" dxfId="217" priority="2" operator="containsText" text="Passed"/>
    <x:cfRule type="containsText" dxfId="218" priority="3" operator="containsText" text="Partial"/>
    <x:cfRule type="containsText" dxfId="219" priority="4" operator="containsText" text="In Progress"/>
    <x:cfRule type="containsText" dxfId="220" priority="5" operator="containsText" text="Pending"/>
    <x:cfRule type="containsText" dxfId="221" priority="6" operator="containsText" text="Not Started"/>
    <x:cfRule type="containsText" dxfId="222" priority="7" operator="containsText" text="Blocked"/>
    <x:cfRule type="containsText" dxfId="223" priority="8" operator="containsText" text="Failed"/>
  </x:conditionalFormatting>
  <x:dataValidations count="1">
    <x:dataValidation type="list" sqref="I6:I37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16.670000076293945" hidden="0" customWidth="1"/>
    <x:col min="3" max="3" width="16.670000076293945" hidden="0" customWidth="1"/>
    <x:col min="4" max="4" width="13.890000343322754" hidden="0" customWidth="1"/>
    <x:col min="5" max="5" width="16.110000610351562" hidden="0" customWidth="1"/>
    <x:col min="6" max="6" width="25.559999465942383" hidden="0" customWidth="1"/>
    <x:col min="7" max="7" width="26.670000076293945" hidden="0" customWidth="1"/>
    <x:col min="8" max="8" width="28.889999389648438" hidden="0" customWidth="1"/>
    <x:col min="9" max="9" width="12.779999732971191" hidden="0" customWidth="1"/>
    <x:col min="10" max="10" width="11.670000076293945" hidden="0" customWidth="1"/>
    <x:col min="11" max="11" width="31.110000610351562" hidden="0" customWidth="1"/>
  </x:cols>
  <x:sheetData>
    <x:row r="1" ht="25.5" customHeight="1">
      <x:c r="A1" s="3" t="str">
        <x:v>Communication and Persistence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.5" customHeight="1">
      <x:c r="A2" s="7" t="str">
        <x:v>Logical contracts are implemented on the host. Rows marked Pending still need their real ESP32, network, provider or phone binding.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0" customHeight="1">
      <x:c r="A5" s="25" t="str">
        <x:v>Flow</x:v>
      </x:c>
      <x:c r="B5" s="25" t="str">
        <x:v>Producer</x:v>
      </x:c>
      <x:c r="C5" s="25" t="str">
        <x:v>Consumer</x:v>
      </x:c>
      <x:c r="D5" s="25" t="str">
        <x:v>Mode</x:v>
      </x:c>
      <x:c r="E5" s="25" t="str">
        <x:v>Contract</x:v>
      </x:c>
      <x:c r="F5" s="25" t="str">
        <x:v>Reliability / acknowledgement</x:v>
      </x:c>
      <x:c r="G5" s="25" t="str">
        <x:v>Security / privacy</x:v>
      </x:c>
      <x:c r="H5" s="25" t="str">
        <x:v>Offline behavior</x:v>
      </x:c>
      <x:c r="I5" s="25" t="str">
        <x:v>Host status</x:v>
      </x:c>
      <x:c r="J5" s="25" t="str">
        <x:v>Target status</x:v>
      </x:c>
      <x:c r="K5" s="25" t="str">
        <x:v>Target exit evidence</x:v>
      </x:c>
    </x:row>
    <x:row r="6" ht="78" customHeight="1">
      <x:c r="A6" s="36" t="str">
        <x:v>C01</x:v>
      </x:c>
      <x:c r="B6" s="36" t="str">
        <x:v>PIR/reed/button node</x:v>
      </x:c>
      <x:c r="C6" s="36" t="str">
        <x:v>Hub H01</x:v>
      </x:c>
      <x:c r="D6" s="36" t="str">
        <x:v>ESP-NOW planned</x:v>
      </x:c>
      <x:c r="E6" s="36" t="str">
        <x:v>S01 node event v1</x:v>
      </x:c>
      <x:c r="F6" s="36" t="str">
        <x:v>Retain before send; retry; retire only after DURABLE/policy-discard ACK</x:v>
      </x:c>
      <x:c r="G6" s="36" t="str">
        <x:v>Authorized peer/session; payload validation; no identity inference</x:v>
      </x:c>
      <x:c r="H6" s="36" t="str">
        <x:v>Node retains bounded events until hub is available</x:v>
      </x:c>
      <x:c r="I6" s="60" t="str">
        <x:v>Complete</x:v>
      </x:c>
      <x:c r="J6" s="60" t="str">
        <x:v>Pending</x:v>
      </x:c>
      <x:c r="K6" s="36" t="str">
        <x:v>Loss/duplicate/reboot RF test with one physical event appearing once</x:v>
      </x:c>
    </x:row>
    <x:row r="7" ht="78" customHeight="1">
      <x:c r="A7" s="37" t="str">
        <x:v>C02</x:v>
      </x:c>
      <x:c r="B7" s="37" t="str">
        <x:v>Radio callback</x:v>
      </x:c>
      <x:c r="C7" s="37" t="str">
        <x:v>Hub state_core</x:v>
      </x:c>
      <x:c r="D7" s="37" t="str">
        <x:v>Bounded FreeRTOS queue</x:v>
      </x:c>
      <x:c r="E7" s="37" t="str">
        <x:v>Fixed-value admitted event</x:v>
      </x:c>
      <x:c r="F7" s="37" t="str">
        <x:v>Callback copies and returns; queue-full rejection is observable</x:v>
      </x:c>
      <x:c r="G7" s="37" t="str">
        <x:v>No flash or rule execution inside callback</x:v>
      </x:c>
      <x:c r="H7" s="37" t="str">
        <x:v>Local queue/journal remain independent of WAN</x:v>
      </x:c>
      <x:c r="I7" s="61" t="str">
        <x:v>Complete</x:v>
      </x:c>
      <x:c r="J7" s="61" t="str">
        <x:v>Pending</x:v>
      </x:c>
      <x:c r="K7" s="37" t="str">
        <x:v>Measured callback latency, queue saturation and watchdog test</x:v>
      </x:c>
    </x:row>
    <x:row r="8" ht="78" customHeight="1">
      <x:c r="A8" s="37" t="str">
        <x:v>C03</x:v>
      </x:c>
      <x:c r="B8" s="37" t="str">
        <x:v>Hub state_core</x:v>
      </x:c>
      <x:c r="C8" s="37" t="str">
        <x:v>Hub flash journal</x:v>
      </x:c>
      <x:c r="D8" s="37" t="str">
        <x:v>Local append-only storage</x:v>
      </x:c>
      <x:c r="E8" s="37" t="str">
        <x:v>H02 record + commit marker</x:v>
      </x:c>
      <x:c r="F8" s="37" t="str">
        <x:v>Commit precedes DURABLE node ACK; duplicate key is idempotent</x:v>
      </x:c>
      <x:c r="G8" s="37" t="str">
        <x:v>No sensitive raw media; bounded evidence only</x:v>
      </x:c>
      <x:c r="H8" s="37" t="str">
        <x:v>Persists through WAN outage and reboot</x:v>
      </x:c>
      <x:c r="I8" s="61" t="str">
        <x:v>Complete</x:v>
      </x:c>
      <x:c r="J8" s="61" t="str">
        <x:v>Pending</x:v>
      </x:c>
      <x:c r="K8" s="37" t="str">
        <x:v>CRC/commit, interrupted-write, wear and 100-cycle reset evidence</x:v>
      </x:c>
    </x:row>
    <x:row r="9" ht="78" customHeight="1">
      <x:c r="A9" s="37" t="str">
        <x:v>C04</x:v>
      </x:c>
      <x:c r="B9" s="37" t="str">
        <x:v>Hub H08</x:v>
      </x:c>
      <x:c r="C9" s="37" t="str">
        <x:v>Backend B03</x:v>
      </x:c>
      <x:c r="D9" s="37" t="str">
        <x:v>Wi-Fi + MQTT/TLS planned</x:v>
      </x:c>
      <x:c r="E9" s="37" t="str">
        <x:v>S01 cloud event v1</x:v>
      </x:c>
      <x:c r="F9" s="37" t="str">
        <x:v>MQTT transport ACK is not business commit; backend application ACK retires</x:v>
      </x:c>
      <x:c r="G9" s="37" t="str">
        <x:v>Client identity, TLS and topic ACL</x:v>
      </x:c>
      <x:c r="H9" s="37" t="str">
        <x:v>Hub outbox keeps original occurrence time and replays</x:v>
      </x:c>
      <x:c r="I9" s="61" t="str">
        <x:v>Complete</x:v>
      </x:c>
      <x:c r="J9" s="61" t="str">
        <x:v>Pending</x:v>
      </x:c>
      <x:c r="K9" s="37" t="str">
        <x:v>Staging broker loss/reconnect plus 72-hour replay without duplicate effects</x:v>
      </x:c>
    </x:row>
    <x:row r="10" ht="78" customHeight="1">
      <x:c r="A10" s="37" t="str">
        <x:v>C05</x:v>
      </x:c>
      <x:c r="B10" s="37" t="str">
        <x:v>Backend API</x:v>
      </x:c>
      <x:c r="C10" s="37" t="str">
        <x:v>Caregiver app</x:v>
      </x:c>
      <x:c r="D10" s="37" t="str">
        <x:v>HTTPS/JSON</x:v>
      </x:c>
      <x:c r="E10" s="37" t="str">
        <x:v>OpenAPI v1</x:v>
      </x:c>
      <x:c r="F10" s="37" t="str">
        <x:v>Idempotency key on commands; server is authoritative</x:v>
      </x:c>
      <x:c r="G10" s="37" t="str">
        <x:v>OIDC bearer; home-scoped authorization</x:v>
      </x:c>
      <x:c r="H10" s="37" t="str">
        <x:v>Versioned cache is visibly stale, never authoritative</x:v>
      </x:c>
      <x:c r="I10" s="61" t="str">
        <x:v>Complete</x:v>
      </x:c>
      <x:c r="J10" s="61" t="str">
        <x:v>Pending</x:v>
      </x:c>
      <x:c r="K10" s="37" t="str">
        <x:v>Real OIDC/API test on supported phones including stale/offline state</x:v>
      </x:c>
    </x:row>
    <x:row r="11" ht="78" customHeight="1">
      <x:c r="A11" s="37" t="str">
        <x:v>C06</x:v>
      </x:c>
      <x:c r="B11" s="37" t="str">
        <x:v>Backend B05</x:v>
      </x:c>
      <x:c r="C11" s="37" t="str">
        <x:v>Caregiver phone</x:v>
      </x:c>
      <x:c r="D11" s="37" t="str">
        <x:v>Web Push planned</x:v>
      </x:c>
      <x:c r="E11" s="37" t="str">
        <x:v>Notification job + delivery state</x:v>
      </x:c>
      <x:c r="F11" s="37" t="str">
        <x:v>Provider acceptance, phone receipt and human ACK remain separate</x:v>
      </x:c>
      <x:c r="G11" s="37" t="str">
        <x:v>Consent/route scoped; no health assurance claim</x:v>
      </x:c>
      <x:c r="H11" s="37" t="str">
        <x:v>Backup route is bounded; provider failure remains visible</x:v>
      </x:c>
      <x:c r="I11" s="61" t="str">
        <x:v>Complete</x:v>
      </x:c>
      <x:c r="J11" s="61" t="str">
        <x:v>Pending</x:v>
      </x:c>
      <x:c r="K11" s="37" t="str">
        <x:v>Primary/backup real-phone TEST drill including provider failure</x:v>
      </x:c>
    </x:row>
    <x:row r="12" ht="78" customHeight="1">
      <x:c r="A12" s="37" t="str">
        <x:v>C07</x:v>
      </x:c>
      <x:c r="B12" s="37" t="str">
        <x:v>App/backend B06</x:v>
      </x:c>
      <x:c r="C12" s="37" t="str">
        <x:v>Hub H07 / node N04</x:v>
      </x:c>
      <x:c r="D12" s="37" t="str">
        <x:v>HTTPS then MQTT/TLS planned</x:v>
      </x:c>
      <x:c r="E12" s="37" t="str">
        <x:v>Versioned HomeConfig/NodeConfig</x:v>
      </x:c>
      <x:c r="F12" s="37" t="str">
        <x:v>Same/older version rejected; apply reported separately</x:v>
      </x:c>
      <x:c r="G12" s="37" t="str">
        <x:v>Authorized owner; signed manifest for firmware path</x:v>
      </x:c>
      <x:c r="H12" s="37" t="str">
        <x:v>Existing valid config stays active</x:v>
      </x:c>
      <x:c r="I12" s="61" t="str">
        <x:v>Complete</x:v>
      </x:c>
      <x:c r="J12" s="61" t="str">
        <x:v>Pending</x:v>
      </x:c>
      <x:c r="K12" s="37" t="str">
        <x:v>Atomic apply, reboot restore, stale/conflict and rollback tests</x:v>
      </x:c>
    </x:row>
    <x:row r="13" ht="78" customHeight="1">
      <x:c r="A13" s="37" t="str">
        <x:v>C08</x:v>
      </x:c>
      <x:c r="B13" s="37" t="str">
        <x:v>Resident controls</x:v>
      </x:c>
      <x:c r="C13" s="37" t="str">
        <x:v>Hub H06/state_core</x:v>
      </x:c>
      <x:c r="D13" s="37" t="str">
        <x:v>GPIO/I2C/local feedback</x:v>
      </x:c>
      <x:c r="E13" s="37" t="str">
        <x:v>OK/Call/Privacy domain events</x:v>
      </x:c>
      <x:c r="F13" s="37" t="str">
        <x:v>Local persistence status shown immediately; remote acceptance later</x:v>
      </x:c>
      <x:c r="G13" s="37" t="str">
        <x:v>Physical privacy action; fixed prompts only</x:v>
      </x:c>
      <x:c r="H13" s="37" t="str">
        <x:v>OK/Call can save locally when WAN is down</x:v>
      </x:c>
      <x:c r="I13" s="61" t="str">
        <x:v>Complete</x:v>
      </x:c>
      <x:c r="J13" s="61" t="str">
        <x:v>Pending</x:v>
      </x:c>
      <x:c r="K13" s="37" t="str">
        <x:v>Button/switch/display/buzzer test with caregiver comprehension evidence</x:v>
      </x:c>
    </x:row>
    <x:row r="14" ht="78" customHeight="1">
      <x:c r="A14" s="38" t="str">
        <x:v>C09</x:v>
      </x:c>
      <x:c r="B14" s="38" t="str">
        <x:v>Update service</x:v>
      </x:c>
      <x:c r="C14" s="38" t="str">
        <x:v>Hub/node bootloader</x:v>
      </x:c>
      <x:c r="D14" s="38" t="str">
        <x:v>HTTPS/TLS OTA planned</x:v>
      </x:c>
      <x:c r="E14" s="38" t="str">
        <x:v>S03 signed update manifest</x:v>
      </x:c>
      <x:c r="F14" s="38" t="str">
        <x:v>Rollback prevented; recovery slot required</x:v>
      </x:c>
      <x:c r="G14" s="38" t="str">
        <x:v>Real hash/signature, protected key and secure boot</x:v>
      </x:c>
      <x:c r="H14" s="38" t="str">
        <x:v>Prior image remains recoverable</x:v>
      </x:c>
      <x:c r="I14" s="62" t="str">
        <x:v>Partial</x:v>
      </x:c>
      <x:c r="J14" s="62" t="str">
        <x:v>Pending</x:v>
      </x:c>
      <x:c r="K14" s="38" t="str">
        <x:v>Signed OTA, wrong-board, corrupt-image, rollback and recovery drill</x:v>
      </x:c>
    </x:row>
  </x:sheetData>
  <x:mergeCells>
    <x:mergeCell ref="A1:K1"/>
    <x:mergeCell ref="A2:K2"/>
  </x:mergeCells>
  <x:conditionalFormatting sqref="I6:J14">
    <x:cfRule type="containsText" dxfId="224" priority="1" operator="containsText" text="Complete"/>
    <x:cfRule type="containsText" dxfId="225" priority="2" operator="containsText" text="Passed"/>
    <x:cfRule type="containsText" dxfId="226" priority="3" operator="containsText" text="Partial"/>
    <x:cfRule type="containsText" dxfId="227" priority="4" operator="containsText" text="In Progress"/>
    <x:cfRule type="containsText" dxfId="228" priority="5" operator="containsText" text="Pending"/>
    <x:cfRule type="containsText" dxfId="229" priority="6" operator="containsText" text="Not Started"/>
    <x:cfRule type="containsText" dxfId="230" priority="7" operator="containsText" text="Blocked"/>
    <x:cfRule type="containsText" dxfId="231" priority="8" operator="containsText" text="Failed"/>
  </x:conditionalFormatting>
  <x:dataValidations count="1">
    <x:dataValidation type="list" sqref="I6:J14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7.559999942779541" hidden="0" customWidth="1"/>
    <x:col min="3" max="3" width="28.889999389648438" hidden="0" customWidth="1"/>
    <x:col min="4" max="4" width="17.219999313354492" hidden="0" customWidth="1"/>
    <x:col min="5" max="5" width="18.889999389648438" hidden="0" customWidth="1"/>
    <x:col min="6" max="6" width="37.779998779296875" hidden="0" customWidth="1"/>
    <x:col min="7" max="7" width="36.66999816894531" hidden="0" customWidth="1"/>
    <x:col min="8" max="8" width="12.220000267028809" hidden="0" customWidth="1"/>
    <x:col min="9" max="9" width="13.329999923706055" hidden="0" customWidth="1"/>
  </x:cols>
  <x:sheetData>
    <x:row r="1" ht="25.5" customHeight="1">
      <x:c r="A1" s="3" t="str">
        <x:v>Ordered P0 Completion Workplan</x:v>
      </x:c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7" t="str">
        <x:v>The next work starts with target compilation and one physical vertical slice—not with additional features.</x:v>
      </x:c>
      <x:c r="B2" s="7"/>
      <x:c r="C2" s="7"/>
      <x:c r="D2" s="7"/>
      <x:c r="E2" s="7"/>
      <x:c r="F2" s="7"/>
      <x:c r="G2" s="7"/>
      <x:c r="H2" s="7"/>
      <x:c r="I2" s="7"/>
    </x:row>
    <x:row r="5" ht="30" customHeight="1">
      <x:c r="A5" s="25" t="str">
        <x:v>Order</x:v>
      </x:c>
      <x:c r="B5" s="25" t="str">
        <x:v>Step</x:v>
      </x:c>
      <x:c r="C5" s="25" t="str">
        <x:v>Work item</x:v>
      </x:c>
      <x:c r="D5" s="25" t="str">
        <x:v>Primary owner</x:v>
      </x:c>
      <x:c r="E5" s="25" t="str">
        <x:v>Depends on</x:v>
      </x:c>
      <x:c r="F5" s="25" t="str">
        <x:v>Deliverable</x:v>
      </x:c>
      <x:c r="G5" s="25" t="str">
        <x:v>Exit evidence</x:v>
      </x:c>
      <x:c r="H5" s="25" t="str">
        <x:v>Status</x:v>
      </x:c>
      <x:c r="I5" s="25" t="str">
        <x:v>Priority</x:v>
      </x:c>
    </x:row>
    <x:row r="6" ht="57" customHeight="1">
      <x:c r="A6" s="39" t="n">
        <x:v>1</x:v>
      </x:c>
      <x:c r="B6" s="39" t="str">
        <x:v>1</x:v>
      </x:c>
      <x:c r="C6" s="36" t="str">
        <x:v>Run and trace host baseline</x:v>
      </x:c>
      <x:c r="D6" s="36" t="str">
        <x:v>Software</x:v>
      </x:c>
      <x:c r="E6" s="36" t="str">
        <x:v>Existing repository</x:v>
      </x:c>
      <x:c r="F6" s="36" t="str">
        <x:v>Repeatable make verify run and event trace</x:v>
      </x:c>
      <x:c r="G6" s="36" t="str">
        <x:v>Contracts + 52 C++ + simulator + 10 Python + 6 Node tests pass</x:v>
      </x:c>
      <x:c r="H6" s="60" t="str">
        <x:v>Complete</x:v>
      </x:c>
      <x:c r="I6" s="36" t="str">
        <x:v>P0</x:v>
      </x:c>
    </x:row>
    <x:row r="7" ht="57" customHeight="1">
      <x:c r="A7" s="40" t="n">
        <x:v>2</x:v>
      </x:c>
      <x:c r="B7" s="40" t="str">
        <x:v>2</x:v>
      </x:c>
      <x:c r="C7" s="37" t="str">
        <x:v>Pin ESP-IDF/toolchain</x:v>
      </x:c>
      <x:c r="D7" s="37" t="str">
        <x:v>Firmware</x:v>
      </x:c>
      <x:c r="E7" s="37" t="str">
        <x:v>Board identity</x:v>
      </x:c>
      <x:c r="F7" s="37" t="str">
        <x:v>Version lock and reproducible build environment</x:v>
      </x:c>
      <x:c r="G7" s="37" t="str">
        <x:v>Clean build records exact framework/toolchain versions</x:v>
      </x:c>
      <x:c r="H7" s="61" t="str">
        <x:v>Not Started</x:v>
      </x:c>
      <x:c r="I7" s="37" t="str">
        <x:v>P0</x:v>
      </x:c>
    </x:row>
    <x:row r="8" ht="57" customHeight="1">
      <x:c r="A8" s="40" t="n">
        <x:v>3</x:v>
      </x:c>
      <x:c r="B8" s="40" t="str">
        <x:v>2</x:v>
      </x:c>
      <x:c r="C8" s="37" t="str">
        <x:v>Create ESP32-C3 node target/profile</x:v>
      </x:c>
      <x:c r="D8" s="37" t="str">
        <x:v>Firmware</x:v>
      </x:c>
      <x:c r="E8" s="37" t="str">
        <x:v>Pinned toolchain</x:v>
      </x:c>
      <x:c r="F8" s="37" t="str">
        <x:v>Node target, partitions and boot diagnostics</x:v>
      </x:c>
      <x:c r="G8" s="37" t="str">
        <x:v>Board compiles, flashes and reports version/reset reason</x:v>
      </x:c>
      <x:c r="H8" s="61" t="str">
        <x:v>Not Started</x:v>
      </x:c>
      <x:c r="I8" s="37" t="str">
        <x:v>P0</x:v>
      </x:c>
    </x:row>
    <x:row r="9" ht="57" customHeight="1">
      <x:c r="A9" s="40" t="n">
        <x:v>4</x:v>
      </x:c>
      <x:c r="B9" s="40" t="str">
        <x:v>2</x:v>
      </x:c>
      <x:c r="C9" s="37" t="str">
        <x:v>Create DevKit V1 hub target/profile</x:v>
      </x:c>
      <x:c r="D9" s="37" t="str">
        <x:v>Firmware</x:v>
      </x:c>
      <x:c r="E9" s="37" t="str">
        <x:v>Pinned toolchain</x:v>
      </x:c>
      <x:c r="F9" s="37" t="str">
        <x:v>Hub target, partitions and boot diagnostics</x:v>
      </x:c>
      <x:c r="G9" s="37" t="str">
        <x:v>Board compiles, flashes and reports version/reset reason</x:v>
      </x:c>
      <x:c r="H9" s="61" t="str">
        <x:v>Not Started</x:v>
      </x:c>
      <x:c r="I9" s="37" t="str">
        <x:v>P0</x:v>
      </x:c>
    </x:row>
    <x:row r="10" ht="57" customHeight="1">
      <x:c r="A10" s="40" t="n">
        <x:v>5</x:v>
      </x:c>
      <x:c r="B10" s="40" t="str">
        <x:v>2</x:v>
      </x:c>
      <x:c r="C10" s="37" t="str">
        <x:v>Freeze GPIO/voltage/power constraints</x:v>
      </x:c>
      <x:c r="D10" s="37" t="str">
        <x:v>HW + Firmware</x:v>
      </x:c>
      <x:c r="E10" s="37" t="str">
        <x:v>Purchased parts</x:v>
      </x:c>
      <x:c r="F10" s="37" t="str">
        <x:v>Reviewed pin/power table</x:v>
      </x:c>
      <x:c r="G10" s="37" t="str">
        <x:v>No boot-strap conflict; measured voltage/current boundaries recorded</x:v>
      </x:c>
      <x:c r="H10" s="61" t="str">
        <x:v>Not Started</x:v>
      </x:c>
      <x:c r="I10" s="37" t="str">
        <x:v>P0</x:v>
      </x:c>
    </x:row>
    <x:row r="11" ht="57" customHeight="1">
      <x:c r="A11" s="40" t="n">
        <x:v>6</x:v>
      </x:c>
      <x:c r="B11" s="40" t="str">
        <x:v>3</x:v>
      </x:c>
      <x:c r="C11" s="37" t="str">
        <x:v>Bind AM312 PIR and qualification logic</x:v>
      </x:c>
      <x:c r="D11" s="37" t="str">
        <x:v>Firmware</x:v>
      </x:c>
      <x:c r="E11" s="37" t="str">
        <x:v>C3 target</x:v>
      </x:c>
      <x:c r="F11" s="37" t="str">
        <x:v>GPIO adapter using N01</x:v>
      </x:c>
      <x:c r="G11" s="37" t="str">
        <x:v>Warm-up, hold, bounce and retrigger behavior measured</x:v>
      </x:c>
      <x:c r="H11" s="61" t="str">
        <x:v>Not Started</x:v>
      </x:c>
      <x:c r="I11" s="37" t="str">
        <x:v>P0</x:v>
      </x:c>
    </x:row>
    <x:row r="12" ht="57" customHeight="1">
      <x:c r="A12" s="40" t="n">
        <x:v>7</x:v>
      </x:c>
      <x:c r="B12" s="40" t="str">
        <x:v>3</x:v>
      </x:c>
      <x:c r="C12" s="37" t="str">
        <x:v>Bind retained node storage</x:v>
      </x:c>
      <x:c r="D12" s="37" t="str">
        <x:v>Firmware</x:v>
      </x:c>
      <x:c r="E12" s="37" t="str">
        <x:v>C3 partitions</x:v>
      </x:c>
      <x:c r="F12" s="37" t="str">
        <x:v>N05 flash/NVS implementation</x:v>
      </x:c>
      <x:c r="G12" s="37" t="str">
        <x:v>Interrupted write/reboot does not silently lose acknowledged state</x:v>
      </x:c>
      <x:c r="H12" s="61" t="str">
        <x:v>Not Started</x:v>
      </x:c>
      <x:c r="I12" s="37" t="str">
        <x:v>P0</x:v>
      </x:c>
    </x:row>
    <x:row r="13" ht="57" customHeight="1">
      <x:c r="A13" s="40" t="n">
        <x:v>8</x:v>
      </x:c>
      <x:c r="B13" s="40" t="str">
        <x:v>3</x:v>
      </x:c>
      <x:c r="C13" s="37" t="str">
        <x:v>Bind ESP-NOW node ↔ hub transport</x:v>
      </x:c>
      <x:c r="D13" s="37" t="str">
        <x:v>Firmware</x:v>
      </x:c>
      <x:c r="E13" s="37" t="str">
        <x:v>Both board targets</x:v>
      </x:c>
      <x:c r="F13" s="37" t="str">
        <x:v>N02/H01 adapters and application ACK</x:v>
      </x:c>
      <x:c r="G13" s="37" t="str">
        <x:v>Loss, duplicate, reboot and retry cases pass</x:v>
      </x:c>
      <x:c r="H13" s="61" t="str">
        <x:v>Not Started</x:v>
      </x:c>
      <x:c r="I13" s="37" t="str">
        <x:v>P0</x:v>
      </x:c>
    </x:row>
    <x:row r="14" ht="57" customHeight="1">
      <x:c r="A14" s="40" t="n">
        <x:v>9</x:v>
      </x:c>
      <x:c r="B14" s="40" t="str">
        <x:v>3</x:v>
      </x:c>
      <x:c r="C14" s="37" t="str">
        <x:v>Bind durable hub journal</x:v>
      </x:c>
      <x:c r="D14" s="37" t="str">
        <x:v>Firmware</x:v>
      </x:c>
      <x:c r="E14" s="37" t="str">
        <x:v>Hub target</x:v>
      </x:c>
      <x:c r="F14" s="37" t="str">
        <x:v>H02 flash journal</x:v>
      </x:c>
      <x:c r="G14" s="37" t="str">
        <x:v>One motion event persists once with original event time</x:v>
      </x:c>
      <x:c r="H14" s="61" t="str">
        <x:v>Not Started</x:v>
      </x:c>
      <x:c r="I14" s="37" t="str">
        <x:v>P0</x:v>
      </x:c>
    </x:row>
    <x:row r="15" ht="57" customHeight="1">
      <x:c r="A15" s="40" t="n">
        <x:v>10</x:v>
      </x:c>
      <x:c r="B15" s="40" t="str">
        <x:v>3</x:v>
      </x:c>
      <x:c r="C15" s="37" t="str">
        <x:v>Expose local evidence dashboard</x:v>
      </x:c>
      <x:c r="D15" s="37" t="str">
        <x:v>Firmware/App</x:v>
      </x:c>
      <x:c r="E15" s="37" t="str">
        <x:v>Hub journal</x:v>
      </x:c>
      <x:c r="F15" s="37" t="str">
        <x:v>Minimal local/API view</x:v>
      </x:c>
      <x:c r="G15" s="37" t="str">
        <x:v>Physical motion appears once; unknown coverage never becomes safety claim</x:v>
      </x:c>
      <x:c r="H15" s="61" t="str">
        <x:v>Not Started</x:v>
      </x:c>
      <x:c r="I15" s="37" t="str">
        <x:v>P0</x:v>
      </x:c>
    </x:row>
    <x:row r="16" ht="57" customHeight="1">
      <x:c r="A16" s="40" t="n">
        <x:v>11</x:v>
      </x:c>
      <x:c r="B16" s="40" t="str">
        <x:v>4</x:v>
      </x:c>
      <x:c r="C16" s="37" t="str">
        <x:v>Bind trusted time + coverage gates</x:v>
      </x:c>
      <x:c r="D16" s="37" t="str">
        <x:v>Firmware</x:v>
      </x:c>
      <x:c r="E16" s="37" t="str">
        <x:v>Vertical slice</x:v>
      </x:c>
      <x:c r="F16" s="37" t="str">
        <x:v>H03/H04 target adapters</x:v>
      </x:c>
      <x:c r="G16" s="37" t="str">
        <x:v>Reboot/drift/lease-expiry cases suppress false missing activity</x:v>
      </x:c>
      <x:c r="H16" s="61" t="str">
        <x:v>Not Started</x:v>
      </x:c>
      <x:c r="I16" s="37" t="str">
        <x:v>P0</x:v>
      </x:c>
    </x:row>
    <x:row r="17" ht="57" customHeight="1">
      <x:c r="A17" s="40" t="n">
        <x:v>12</x:v>
      </x:c>
      <x:c r="B17" s="40" t="str">
        <x:v>4</x:v>
      </x:c>
      <x:c r="C17" s="37" t="str">
        <x:v>Bind routine decision path</x:v>
      </x:c>
      <x:c r="D17" s="37" t="str">
        <x:v>Firmware</x:v>
      </x:c>
      <x:c r="E17" s="37" t="str">
        <x:v>Trusted time/coverage</x:v>
      </x:c>
      <x:c r="F17" s="37" t="str">
        <x:v>H05 on target</x:v>
      </x:c>
      <x:c r="G17" s="37" t="str">
        <x:v>Normal, missing, privacy, away/pause cases pass</x:v>
      </x:c>
      <x:c r="H17" s="61" t="str">
        <x:v>Not Started</x:v>
      </x:c>
      <x:c r="I17" s="37" t="str">
        <x:v>P0</x:v>
      </x:c>
    </x:row>
    <x:row r="18" ht="57" customHeight="1">
      <x:c r="A18" s="40" t="n">
        <x:v>13</x:v>
      </x:c>
      <x:c r="B18" s="40" t="str">
        <x:v>4</x:v>
      </x:c>
      <x:c r="C18" s="37" t="str">
        <x:v>Bind I'm OK, Call family and privacy controls</x:v>
      </x:c>
      <x:c r="D18" s="37" t="str">
        <x:v>HW + Firmware</x:v>
      </x:c>
      <x:c r="E18" s="37" t="str">
        <x:v>Hub target</x:v>
      </x:c>
      <x:c r="F18" s="37" t="str">
        <x:v>H06 GPIO/display/buzzer integration</x:v>
      </x:c>
      <x:c r="G18" s="37" t="str">
        <x:v>Offline/online feedback and durable action tests pass</x:v>
      </x:c>
      <x:c r="H18" s="61" t="str">
        <x:v>Not Started</x:v>
      </x:c>
      <x:c r="I18" s="37" t="str">
        <x:v>P0</x:v>
      </x:c>
    </x:row>
    <x:row r="19" ht="57" customHeight="1">
      <x:c r="A19" s="40" t="n">
        <x:v>14</x:v>
      </x:c>
      <x:c r="B19" s="40" t="str">
        <x:v>5</x:v>
      </x:c>
      <x:c r="C19" s="37" t="str">
        <x:v>Implement PostgreSQL repositories, migrations and RLS</x:v>
      </x:c>
      <x:c r="D19" s="37" t="str">
        <x:v>Backend</x:v>
      </x:c>
      <x:c r="E19" s="37" t="str">
        <x:v>Stable contracts</x:v>
      </x:c>
      <x:c r="F19" s="37" t="str">
        <x:v>Durable tenant-scoped store</x:v>
      </x:c>
      <x:c r="G19" s="37" t="str">
        <x:v>Idempotency, concurrency, retention and restore tests pass</x:v>
      </x:c>
      <x:c r="H19" s="61" t="str">
        <x:v>Not Started</x:v>
      </x:c>
      <x:c r="I19" s="37" t="str">
        <x:v>P0</x:v>
      </x:c>
    </x:row>
    <x:row r="20" ht="57" customHeight="1">
      <x:c r="A20" s="40" t="n">
        <x:v>15</x:v>
      </x:c>
      <x:c r="B20" s="40" t="str">
        <x:v>5</x:v>
      </x:c>
      <x:c r="C20" s="37" t="str">
        <x:v>Integrate OIDC + MQTT/TLS</x:v>
      </x:c>
      <x:c r="D20" s="37" t="str">
        <x:v>Backend/Firmware</x:v>
      </x:c>
      <x:c r="E20" s="37" t="str">
        <x:v>Staging services</x:v>
      </x:c>
      <x:c r="F20" s="37" t="str">
        <x:v>Authenticated API and broker path</x:v>
      </x:c>
      <x:c r="G20" s="37" t="str">
        <x:v>Cross-home access fails; reconnect/replay succeeds</x:v>
      </x:c>
      <x:c r="H20" s="61" t="str">
        <x:v>Not Started</x:v>
      </x:c>
      <x:c r="I20" s="37" t="str">
        <x:v>P0</x:v>
      </x:c>
    </x:row>
    <x:row r="21" ht="57" customHeight="1">
      <x:c r="A21" s="40" t="n">
        <x:v>16</x:v>
      </x:c>
      <x:c r="B21" s="40" t="str">
        <x:v>5</x:v>
      </x:c>
      <x:c r="C21" s="37" t="str">
        <x:v>Integrate Web Push + worker leases</x:v>
      </x:c>
      <x:c r="D21" s="37" t="str">
        <x:v>Backend/App</x:v>
      </x:c>
      <x:c r="E21" s="37" t="str">
        <x:v>OIDC/API</x:v>
      </x:c>
      <x:c r="F21" s="37" t="str">
        <x:v>Primary/backup notification pipeline</x:v>
      </x:c>
      <x:c r="G21" s="37" t="str">
        <x:v>Real phones pass TEST, failure and duplicate cases</x:v>
      </x:c>
      <x:c r="H21" s="61" t="str">
        <x:v>Not Started</x:v>
      </x:c>
      <x:c r="I21" s="37" t="str">
        <x:v>P0</x:v>
      </x:c>
    </x:row>
    <x:row r="22" ht="57" customHeight="1">
      <x:c r="A22" s="40" t="n">
        <x:v>17</x:v>
      </x:c>
      <x:c r="B22" s="40" t="str">
        <x:v>5</x:v>
      </x:c>
      <x:c r="C22" s="37" t="str">
        <x:v>Production PWA integration</x:v>
      </x:c>
      <x:c r="D22" s="37" t="str">
        <x:v>App</x:v>
      </x:c>
      <x:c r="E22" s="37" t="str">
        <x:v>Real API/providers</x:v>
      </x:c>
      <x:c r="F22" s="37" t="str">
        <x:v>Accessible caregiver application</x:v>
      </x:c>
      <x:c r="G22" s="37" t="str">
        <x:v>Supported phones pass freshness, offline and incident workflows</x:v>
      </x:c>
      <x:c r="H22" s="61" t="str">
        <x:v>Not Started</x:v>
      </x:c>
      <x:c r="I22" s="37" t="str">
        <x:v>P0</x:v>
      </x:c>
    </x:row>
    <x:row r="23" ht="57" customHeight="1">
      <x:c r="A23" s="40" t="n">
        <x:v>18</x:v>
      </x:c>
      <x:c r="B23" s="40" t="str">
        <x:v>5</x:v>
      </x:c>
      <x:c r="C23" s="37" t="str">
        <x:v>Implement real crypto and signed OTA</x:v>
      </x:c>
      <x:c r="D23" s="37" t="str">
        <x:v>Security/Firmware</x:v>
      </x:c>
      <x:c r="E23" s="37" t="str">
        <x:v>Board boot path</x:v>
      </x:c>
      <x:c r="F23" s="37" t="str">
        <x:v>Secure update/recovery path</x:v>
      </x:c>
      <x:c r="G23" s="37" t="str">
        <x:v>Signature, rollback, corrupt-image and recovery tests pass</x:v>
      </x:c>
      <x:c r="H23" s="61" t="str">
        <x:v>Not Started</x:v>
      </x:c>
      <x:c r="I23" s="37" t="str">
        <x:v>P0</x:v>
      </x:c>
    </x:row>
    <x:row r="24" ht="57" customHeight="1">
      <x:c r="A24" s="40" t="n">
        <x:v>19</x:v>
      </x:c>
      <x:c r="B24" s="40" t="str">
        <x:v>6</x:v>
      </x:c>
      <x:c r="C24" s="37" t="str">
        <x:v>Install and tune four sources</x:v>
      </x:c>
      <x:c r="D24" s="37" t="str">
        <x:v>System test</x:v>
      </x:c>
      <x:c r="E24" s="37" t="str">
        <x:v>Integrated kit</x:v>
      </x:c>
      <x:c r="F24" s="37" t="str">
        <x:v>Four-node home installation</x:v>
      </x:c>
      <x:c r="G24" s="37" t="str">
        <x:v>RF, sensor, power and placement evidence recorded</x:v>
      </x:c>
      <x:c r="H24" s="61" t="str">
        <x:v>Not Started</x:v>
      </x:c>
      <x:c r="I24" s="37" t="str">
        <x:v>P0</x:v>
      </x:c>
    </x:row>
    <x:row r="25" ht="57" customHeight="1">
      <x:c r="A25" s="40" t="n">
        <x:v>20</x:v>
      </x:c>
      <x:c r="B25" s="40" t="str">
        <x:v>6</x:v>
      </x:c>
      <x:c r="C25" s="37" t="str">
        <x:v>Run outage, reset, storage and restore drills</x:v>
      </x:c>
      <x:c r="D25" s="37" t="str">
        <x:v>System test/Ops</x:v>
      </x:c>
      <x:c r="E25" s="37" t="str">
        <x:v>Installed kit + staging</x:v>
      </x:c>
      <x:c r="F25" s="37" t="str">
        <x:v>Repeatable resilience report</x:v>
      </x:c>
      <x:c r="G25" s="37" t="str">
        <x:v>72-hour WAN outage/replay and recovery gates pass</x:v>
      </x:c>
      <x:c r="H25" s="61" t="str">
        <x:v>Not Started</x:v>
      </x:c>
      <x:c r="I25" s="37" t="str">
        <x:v>P0</x:v>
      </x:c>
    </x:row>
    <x:row r="26" ht="57" customHeight="1">
      <x:c r="A26" s="41" t="n">
        <x:v>21</x:v>
      </x:c>
      <x:c r="B26" s="41" t="str">
        <x:v>6</x:v>
      </x:c>
      <x:c r="C26" s="38" t="str">
        <x:v>Resident/caregiver comprehension and consent gate</x:v>
      </x:c>
      <x:c r="D26" s="38" t="str">
        <x:v>Product/Test</x:v>
      </x:c>
      <x:c r="E26" s="38" t="str">
        <x:v>Complete workflows</x:v>
      </x:c>
      <x:c r="F26" s="38" t="str">
        <x:v>Dated pilot-readiness evidence</x:v>
      </x:c>
      <x:c r="G26" s="38" t="str">
        <x:v>Users distinguish activity, offline, provider and human-action states</x:v>
      </x:c>
      <x:c r="H26" s="62" t="str">
        <x:v>Not Started</x:v>
      </x:c>
      <x:c r="I26" s="38" t="str">
        <x:v>P0</x:v>
      </x:c>
    </x:row>
  </x:sheetData>
  <x:mergeCells>
    <x:mergeCell ref="A1:I1"/>
    <x:mergeCell ref="A2:I2"/>
  </x:mergeCells>
  <x:conditionalFormatting sqref="H6:H26">
    <x:cfRule type="containsText" dxfId="232" priority="1" operator="containsText" text="Complete"/>
    <x:cfRule type="containsText" dxfId="233" priority="2" operator="containsText" text="Passed"/>
    <x:cfRule type="containsText" dxfId="234" priority="3" operator="containsText" text="Partial"/>
    <x:cfRule type="containsText" dxfId="235" priority="4" operator="containsText" text="In Progress"/>
    <x:cfRule type="containsText" dxfId="236" priority="5" operator="containsText" text="Pending"/>
    <x:cfRule type="containsText" dxfId="237" priority="6" operator="containsText" text="Not Started"/>
    <x:cfRule type="containsText" dxfId="238" priority="7" operator="containsText" text="Blocked"/>
    <x:cfRule type="containsText" dxfId="239" priority="8" operator="containsText" text="Failed"/>
  </x:conditionalFormatting>
  <x:dataValidations count="1">
    <x:dataValidation type="list" sqref="H6:H26">
      <x:formula1>"Complete,Passed,Partial,In Progress,Pending,Not Started,Blocked,Failed"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.329999923706055" hidden="0" customWidth="1"/>
    <x:col min="3" max="3" width="12.220000267028809" hidden="0" customWidth="1"/>
    <x:col min="4" max="4" width="14.4399995803833" hidden="0" customWidth="1"/>
    <x:col min="5" max="5" width="40" hidden="0" customWidth="1"/>
    <x:col min="6" max="6" width="36.66999816894531" hidden="0" customWidth="1"/>
    <x:col min="7" max="7" width="25.559999465942383" hidden="0" customWidth="1"/>
    <x:col min="8" max="8" width="13.890000343322754" hidden="0" customWidth="1"/>
  </x:cols>
  <x:sheetData>
    <x:row r="1" ht="25.5" customHeight="1">
      <x:c r="A1" s="3" t="str">
        <x:v>Verification Evidence and Open Gates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Latest host suite re-run: 8 September 2026. Pending rows are intentionally not represented by the green host result.</x:v>
      </x:c>
      <x:c r="B2" s="7"/>
      <x:c r="C2" s="7"/>
      <x:c r="D2" s="7"/>
      <x:c r="E2" s="7"/>
      <x:c r="F2" s="7"/>
      <x:c r="G2" s="7"/>
      <x:c r="H2" s="7"/>
    </x:row>
    <x:row r="5" ht="30" customHeight="1">
      <x:c r="A5" s="25" t="str">
        <x:v>Check ID</x:v>
      </x:c>
      <x:c r="B5" s="25" t="str">
        <x:v>Verification scope</x:v>
      </x:c>
      <x:c r="C5" s="25" t="str">
        <x:v>Layer</x:v>
      </x:c>
      <x:c r="D5" s="25" t="str">
        <x:v>Result</x:v>
      </x:c>
      <x:c r="E5" s="25" t="str">
        <x:v>Evidence</x:v>
      </x:c>
      <x:c r="F5" s="25" t="str">
        <x:v>What is not covered</x:v>
      </x:c>
      <x:c r="G5" s="25" t="str">
        <x:v>Command / source</x:v>
      </x:c>
      <x:c r="H5" s="25" t="str">
        <x:v>Evidence date</x:v>
      </x:c>
    </x:row>
    <x:row r="6" ht="58.5" customHeight="1">
      <x:c r="A6" s="36" t="str">
        <x:v>V01</x:v>
      </x:c>
      <x:c r="B6" s="36" t="str">
        <x:v>Contract structure</x:v>
      </x:c>
      <x:c r="C6" s="36" t="str">
        <x:v>S01</x:v>
      </x:c>
      <x:c r="D6" s="60" t="str">
        <x:v>Passed</x:v>
      </x:c>
      <x:c r="E6" s="36" t="str">
        <x:v>3 JSON schemas plus OpenAPI surface verified</x:v>
      </x:c>
      <x:c r="F6" s="36" t="str">
        <x:v>Generated bindings and wire compatibility vectors</x:v>
      </x:c>
      <x:c r="G6" s="36" t="str">
        <x:v>make contracts / scripts/verify_contracts.py</x:v>
      </x:c>
      <x:c r="H6" s="83" t="str">
        <x:v>2026-09-08</x:v>
      </x:c>
    </x:row>
    <x:row r="7" ht="58.5" customHeight="1">
      <x:c r="A7" s="37" t="str">
        <x:v>V02</x:v>
      </x:c>
      <x:c r="B7" s="37" t="str">
        <x:v>Strict portable C++17 build</x:v>
      </x:c>
      <x:c r="C7" s="37" t="str">
        <x:v>N/H/S</x:v>
      </x:c>
      <x:c r="D7" s="61" t="str">
        <x:v>Passed</x:v>
      </x:c>
      <x:c r="E7" s="37" t="str">
        <x:v>g++ with -Wall -Wextra -Werror -pedantic</x:v>
      </x:c>
      <x:c r="F7" s="37" t="str">
        <x:v>ESP-IDF target compilation</x:v>
      </x:c>
      <x:c r="G7" s="37" t="str">
        <x:v>make cpp-tests</x:v>
      </x:c>
      <x:c r="H7" s="84" t="str">
        <x:v>2026-09-08</x:v>
      </x:c>
    </x:row>
    <x:row r="8" ht="58.5" customHeight="1">
      <x:c r="A8" s="37" t="str">
        <x:v>V03</x:v>
      </x:c>
      <x:c r="B8" s="37" t="str">
        <x:v>Portable C++ behavior</x:v>
      </x:c>
      <x:c r="C8" s="37" t="str">
        <x:v>N/H/S</x:v>
      </x:c>
      <x:c r="D8" s="61" t="str">
        <x:v>Passed</x:v>
      </x:c>
      <x:c r="E8" s="37" t="str">
        <x:v>52 assertions passed</x:v>
      </x:c>
      <x:c r="F8" s="37" t="str">
        <x:v>GPIO, RF, flash, reset and power behavior</x:v>
      </x:c>
      <x:c r="G8" s="37" t="str">
        <x:v>build/cpp_tests</x:v>
      </x:c>
      <x:c r="H8" s="84" t="str">
        <x:v>2026-09-08</x:v>
      </x:c>
    </x:row>
    <x:row r="9" ht="58.5" customHeight="1">
      <x:c r="A9" s="37" t="str">
        <x:v>V04</x:v>
      </x:c>
      <x:c r="B9" s="37" t="str">
        <x:v>Host end-to-end simulator</x:v>
      </x:c>
      <x:c r="C9" s="37" t="str">
        <x:v>N/H</x:v>
      </x:c>
      <x:c r="D9" s="61" t="str">
        <x:v>Passed</x:v>
      </x:c>
      <x:c r="E9" s="37" t="str">
        <x:v>Activity persisted; false missing suppressed; one offline record replayed once</x:v>
      </x:c>
      <x:c r="F9" s="37" t="str">
        <x:v>Real devices, broker and long outage</x:v>
      </x:c>
      <x:c r="G9" s="37" t="str">
        <x:v>make simulator</x:v>
      </x:c>
      <x:c r="H9" s="84" t="str">
        <x:v>2026-09-08</x:v>
      </x:c>
    </x:row>
    <x:row r="10" ht="58.5" customHeight="1">
      <x:c r="A10" s="37" t="str">
        <x:v>V05</x:v>
      </x:c>
      <x:c r="B10" s="37" t="str">
        <x:v>Backend domain</x:v>
      </x:c>
      <x:c r="C10" s="37" t="str">
        <x:v>B</x:v>
      </x:c>
      <x:c r="D10" s="61" t="str">
        <x:v>Passed</x:v>
      </x:c>
      <x:c r="E10" s="37" t="str">
        <x:v>10 unittest cases passed</x:v>
      </x:c>
      <x:c r="F10" s="37" t="str">
        <x:v>PostgreSQL, OIDC, MQTT, Web Push and concurrency</x:v>
      </x:c>
      <x:c r="G10" s="37" t="str">
        <x:v>python -m unittest</x:v>
      </x:c>
      <x:c r="H10" s="84" t="str">
        <x:v>2026-09-08</x:v>
      </x:c>
    </x:row>
    <x:row r="11" ht="58.5" customHeight="1">
      <x:c r="A11" s="37" t="str">
        <x:v>V06</x:v>
      </x:c>
      <x:c r="B11" s="37" t="str">
        <x:v>Caregiver app domain</x:v>
      </x:c>
      <x:c r="C11" s="37" t="str">
        <x:v>A</x:v>
      </x:c>
      <x:c r="D11" s="61" t="str">
        <x:v>Passed</x:v>
      </x:c>
      <x:c r="E11" s="37" t="str">
        <x:v>6 Node.js tests passed</x:v>
      </x:c>
      <x:c r="F11" s="37" t="str">
        <x:v>Production UI, accessibility, service worker and phones</x:v>
      </x:c>
      <x:c r="G11" s="37" t="str">
        <x:v>node --test tests/js/*.test.mjs</x:v>
      </x:c>
      <x:c r="H11" s="84" t="str">
        <x:v>2026-09-08</x:v>
      </x:c>
    </x:row>
    <x:row r="12" ht="58.5" customHeight="1">
      <x:c r="A12" s="37" t="str">
        <x:v>V07</x:v>
      </x:c>
      <x:c r="B12" s="37" t="str">
        <x:v>ESP32 board build/flash</x:v>
      </x:c>
      <x:c r="C12" s="37" t="str">
        <x:v>N/H</x:v>
      </x:c>
      <x:c r="D12" s="61" t="str">
        <x:v>Pending</x:v>
      </x:c>
      <x:c r="E12" s="37" t="str">
        <x:v>No target build evidence yet</x:v>
      </x:c>
      <x:c r="F12" s="37" t="str">
        <x:v>ESP-IDF, partitions, boot diagnostics</x:v>
      </x:c>
      <x:c r="G12" s="37" t="str">
        <x:v>Workplan step 2</x:v>
      </x:c>
      <x:c r="H12" s="84" t="str"/>
    </x:row>
    <x:row r="13" ht="58.5" customHeight="1">
      <x:c r="A13" s="37" t="str">
        <x:v>V08</x:v>
      </x:c>
      <x:c r="B13" s="37" t="str">
        <x:v>GPIO/sensor and ESP-NOW vertical slice</x:v>
      </x:c>
      <x:c r="C13" s="37" t="str">
        <x:v>N/H</x:v>
      </x:c>
      <x:c r="D13" s="61" t="str">
        <x:v>Pending</x:v>
      </x:c>
      <x:c r="E13" s="37" t="str">
        <x:v>No physical event evidence yet</x:v>
      </x:c>
      <x:c r="F13" s="37" t="str">
        <x:v>PIR/reed/button, RF loss/duplicates and durable ACK</x:v>
      </x:c>
      <x:c r="G13" s="37" t="str">
        <x:v>Workplan step 3</x:v>
      </x:c>
      <x:c r="H13" s="84" t="str"/>
    </x:row>
    <x:row r="14" ht="58.5" customHeight="1">
      <x:c r="A14" s="37" t="str">
        <x:v>V09</x:v>
      </x:c>
      <x:c r="B14" s="37" t="str">
        <x:v>Flash/power/reset/HIL</x:v>
      </x:c>
      <x:c r="C14" s="37" t="str">
        <x:v>N/H/T02</x:v>
      </x:c>
      <x:c r="D14" s="61" t="str">
        <x:v>Pending</x:v>
      </x:c>
      <x:c r="E14" s="37" t="str">
        <x:v>Scaffolding only</x:v>
      </x:c>
      <x:c r="F14" s="37" t="str">
        <x:v>Current profile, interrupted writes, resets and battery behavior</x:v>
      </x:c>
      <x:c r="G14" s="37" t="str">
        <x:v>tools/hil/*</x:v>
      </x:c>
      <x:c r="H14" s="84" t="str"/>
    </x:row>
    <x:row r="15" ht="58.5" customHeight="1">
      <x:c r="A15" s="37" t="str">
        <x:v>V10</x:v>
      </x:c>
      <x:c r="B15" s="37" t="str">
        <x:v>Production services</x:v>
      </x:c>
      <x:c r="C15" s="37" t="str">
        <x:v>B/A/H</x:v>
      </x:c>
      <x:c r="D15" s="61" t="str">
        <x:v>Pending</x:v>
      </x:c>
      <x:c r="E15" s="37" t="str">
        <x:v>Host adapters only</x:v>
      </x:c>
      <x:c r="F15" s="37" t="str">
        <x:v>PostgreSQL, OIDC, MQTT/TLS, Web Push and real phones</x:v>
      </x:c>
      <x:c r="G15" s="37" t="str">
        <x:v>Workplan step 5</x:v>
      </x:c>
      <x:c r="H15" s="84" t="str"/>
    </x:row>
    <x:row r="16" ht="58.5" customHeight="1">
      <x:c r="A16" s="37" t="str">
        <x:v>V11</x:v>
      </x:c>
      <x:c r="B16" s="37" t="str">
        <x:v>Production crypto and OTA recovery</x:v>
      </x:c>
      <x:c r="C16" s="37" t="str">
        <x:v>S03/N/H</x:v>
      </x:c>
      <x:c r="D16" s="61" t="str">
        <x:v>Pending</x:v>
      </x:c>
      <x:c r="E16" s="37" t="str">
        <x:v>Fail-closed policy seam only</x:v>
      </x:c>
      <x:c r="F16" s="37" t="str">
        <x:v>Real signature/hash, protected keys, secure boot and recovery</x:v>
      </x:c>
      <x:c r="G16" s="37" t="str">
        <x:v>Workplan step 5</x:v>
      </x:c>
      <x:c r="H16" s="84" t="str"/>
    </x:row>
    <x:row r="17" ht="58.5" customHeight="1">
      <x:c r="A17" s="38" t="str">
        <x:v>V12</x:v>
      </x:c>
      <x:c r="B17" s="38" t="str">
        <x:v>Four-node installed-home gate</x:v>
      </x:c>
      <x:c r="C17" s="38" t="str">
        <x:v>All</x:v>
      </x:c>
      <x:c r="D17" s="62" t="str">
        <x:v>Pending</x:v>
      </x:c>
      <x:c r="E17" s="38" t="str">
        <x:v>No field run evidence yet</x:v>
      </x:c>
      <x:c r="F17" s="38" t="str">
        <x:v>RF, power, false/missed events, 72-hour WAN outage and user comprehension</x:v>
      </x:c>
      <x:c r="G17" s="38" t="str">
        <x:v>Workplan step 6</x:v>
      </x:c>
      <x:c r="H17" s="85" t="str"/>
    </x:row>
  </x:sheetData>
  <x:mergeCells>
    <x:mergeCell ref="A1:H1"/>
    <x:mergeCell ref="A2:H2"/>
  </x:mergeCells>
  <x:conditionalFormatting sqref="D6:D17">
    <x:cfRule type="containsText" dxfId="240" priority="1" operator="containsText" text="Complete"/>
    <x:cfRule type="containsText" dxfId="241" priority="2" operator="containsText" text="Passed"/>
    <x:cfRule type="containsText" dxfId="242" priority="3" operator="containsText" text="Partial"/>
    <x:cfRule type="containsText" dxfId="243" priority="4" operator="containsText" text="In Progress"/>
    <x:cfRule type="containsText" dxfId="244" priority="5" operator="containsText" text="Pending"/>
    <x:cfRule type="containsText" dxfId="245" priority="6" operator="containsText" text="Not Started"/>
    <x:cfRule type="containsText" dxfId="246" priority="7" operator="containsText" text="Blocked"/>
    <x:cfRule type="containsText" dxfId="247" priority="8" operator="containsText" text="Failed"/>
  </x:conditionalFormatting>
  <x:dataValidations count="1">
    <x:dataValidation type="list" sqref="D6:D17">
      <x:formula1>"Complete,Passed,Partial,In Progress,Pending,Not Started,Blocked,Failed"</x:formula1>
    </x:dataValidation>
  </x:dataValidations>
  <x:pageMargins left="0.7" right="0.7" top="0.75" bottom="0.75" header="0.3" footer="0.3"/>
</x:worksheet>
</file>