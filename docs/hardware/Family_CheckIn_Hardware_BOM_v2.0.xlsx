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7146de2dd004c3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bea4290149bc42c8"/>
    <x:sheet xmlns:r="http://schemas.openxmlformats.org/officeDocument/2006/relationships" name="Purchase BOM" sheetId="2" r:id="Rde3871c3877f400a"/>
    <x:sheet xmlns:r="http://schemas.openxmlformats.org/officeDocument/2006/relationships" name="Commercial Alternatives" sheetId="3" r:id="R8cfabf6c4fdc42fe"/>
    <x:sheet xmlns:r="http://schemas.openxmlformats.org/officeDocument/2006/relationships" name="Wiring Guide" sheetId="5" r:id="R867d87d9c15a4f3f"/>
    <x:sheet xmlns:r="http://schemas.openxmlformats.org/officeDocument/2006/relationships" name="Edition 2 guidance" sheetId="6" r:id="R9c5f0ca978484f77"/>
  </x:sheets>
</x:workbook>
</file>

<file path=xl/sharedStrings.xml><?xml version="1.0" encoding="utf-8"?>
<x:sst xmlns:x="http://schemas.openxmlformats.org/spreadsheetml/2006/main">
  <x:si>
    <x:t xml:space="preserve">Family Check-In Hardware Plan</x:t>
  </x:si>
  <x:si>
    <x:t xml:space="preserve">Purchase and commercial-upgrade summary • Updated 2026-09-04</x:t>
  </x:si>
  <x:si>
    <x:t xml:space="preserve">BASE DEVICES</x:t>
  </x:si>
  <x:si>
    <x:t xml:space="preserve">BATTERIES TO BUY</x:t>
  </x:si>
  <x:si>
    <x:t xml:space="preserve">EST. BASE PURCHASE (₹)</x:t>
  </x:si>
  <x:si>
    <x:t xml:space="preserve">DEDICATED GATE DEVICES</x:t>
  </x:si>
  <x:si>
    <x:t xml:space="preserve">Configuration assumptions</x:t>
  </x:si>
  <x:si>
    <x:t xml:space="preserve">1</x:t>
  </x:si>
  <x:si>
    <x:t xml:space="preserve">Hub sits centrally in the common/dining area and includes one AM312 PIR.</x:t>
  </x:si>
  <x:si>
    <x:t xml:space="preserve">2</x:t>
  </x:si>
  <x:si>
    <x:t xml:space="preserve">Four base nodes cover Room 1, pooja/balcony, kitchen and the primarily used bathroom.</x:t>
  </x:si>
  <x:si>
    <x:t xml:space="preserve">3</x:t>
  </x:si>
  <x:si>
    <x:t xml:space="preserve">A fully independent main-door/gate node raises the node count from four to five and total 18650 count from six to seven.</x:t>
  </x:si>
  <x:si>
    <x:t xml:space="preserve">4</x:t>
  </x:si>
  <x:si>
    <x:t xml:space="preserve">Base battery requirement is six cells: two matched cells in the hub and one cell per node. You own four, so buy two more.</x:t>
  </x:si>
  <x:si>
    <x:t xml:space="preserve">5</x:t>
  </x:si>
  <x:si>
    <x:t xml:space="preserve">ESP-NOW handles node-to-hub communication; home Wi-Fi handles hub-to-dashboard. No separate radio module is required.</x:t>
  </x:si>
  <x:si>
    <x:t xml:space="preserve">6</x:t>
  </x:si>
  <x:si>
    <x:t xml:space="preserve">The first prototype uses a buzzer and physical OK buttons. Voice prompts, temperature, humidity and smoke sensing remain P1.</x:t>
  </x:si>
  <x:si>
    <x:t xml:space="preserve">Purchase decisions</x:t>
  </x:si>
  <x:si>
    <x:t xml:space="preserve">BUY NOW</x:t>
  </x:si>
  <x:si>
    <x:t xml:space="preserve">ESP32-C3 boards, AM312 sensors, one dual V8 hub shield, four single-cell node shields, two additional matched cells, door contact, buttons, assembly consumables, 3m 22AWG red/black power cable and 2m multicolour ribbon cable.</x:t>
  </x:si>
  <x:si>
    <x:t xml:space="preserve">USE NOW</x:t>
  </x:si>
  <x:si>
    <x:t xml:space="preserve">Direct mobile-charger power is acceptable while developing hub software. The V8 shield supplies temporary battery operation but is not a verified seamless UPS.</x:t>
  </x:si>
  <x:si>
    <x:t xml:space="preserve">LX-2BUPS</x:t>
  </x:si>
  <x:si>
    <x:t xml:space="preserve">Evaluate one unit after restock. Use only on the hub and only after power-transfer, battery-cutoff, thermal, EMI and short-circuit testing.</x:t>
  </x:si>
  <x:si>
    <x:t xml:space="preserve">DO NOT DUPLICATE</x:t>
  </x:si>
  <x:si>
    <x:t xml:space="preserve">For each node choose the single-cell shield OR holder + TP4056 + TPS63020. Do not purchase both power paths for one node.</x:t>
  </x:si>
  <x:si>
    <x:t xml:space="preserve">BUY LATER</x:t>
  </x:si>
  <x:si>
    <x:t xml:space="preserve">Cases and permanent wall mounts only after measuring the assembled perfboards, connectors, cable bend radius and PIR-lens positions.</x:t>
  </x:si>
  <x:si>
    <x:t xml:space="preserve">DO NOT BUY P0</x:t>
  </x:si>
  <x:si>
    <x:t xml:space="preserve">Smoke/gas sensor, temperature/humidity sensor, mmWave sensor, camera, microphone, microSD and speaker parts are outside the first prototype.</x:t>
  </x:si>
  <x:si>
    <x:t xml:space="preserve">Commercial reminder: LX-2BUPS is a low-cost module to qualify for a pilot—not a guaranteed final commercial power design. The final production choice should use a locked supplier/PCB revision or a traceable power-path design with a certified, inaccessible battery pack.</x:t>
  </x:si>
  <x:si>
    <x:t xml:space="preserve">Family Check-In / Home Risk — Complete Hardware Purchase BOM</x:t>
  </x:si>
  <x:si>
    <x:t xml:space="preserve">Configuration: one ESP32 hub + four sensor nodes. Prices checked/estimated 2026-09-04; shipping and unlisted taxes are excluded.</x:t>
  </x:si>
  <x:si>
    <x:t xml:space="preserve">Gate Qty adds one independent wireless door node. If the door contact can use a short cable to an existing node, use Base Qty instead.</x:t>
  </x:si>
  <x:si>
    <x:t xml:space="preserve">Editable inputs are Already Have and Unit Price. Buy quantities and purchase cost update automatically.</x:t>
  </x:si>
  <x:si>
    <x:t xml:space="preserve">ID</x:t>
  </x:si>
  <x:si>
    <x:t xml:space="preserve">Device</x:t>
  </x:si>
  <x:si>
    <x:t xml:space="preserve">Category</x:t>
  </x:si>
  <x:si>
    <x:t xml:space="preserve">Component</x:t>
  </x:si>
  <x:si>
    <x:t xml:space="preserve">Prototype selection / purpose</x:t>
  </x:si>
  <x:si>
    <x:t xml:space="preserve">Base Qty
1 hub + 4 nodes</x:t>
  </x:si>
  <x:si>
    <x:t xml:space="preserve">Gate Qty
+ dedicated node</x:t>
  </x:si>
  <x:si>
    <x:t xml:space="preserve">Already Have</x:t>
  </x:si>
  <x:si>
    <x:t xml:space="preserve">Buy Base</x:t>
  </x:si>
  <x:si>
    <x:t xml:space="preserve">Buy Gate</x:t>
  </x:si>
  <x:si>
    <x:t xml:space="preserve">Priority</x:t>
  </x:si>
  <x:si>
    <x:t xml:space="preserve">Unit Price ₹</x:t>
  </x:si>
  <x:si>
    <x:t xml:space="preserve">Base Purchase ₹</x:t>
  </x:si>
  <x:si>
    <x:t xml:space="preserve">Price Basis / Stock Note</x:t>
  </x:si>
  <x:si>
    <x:t xml:space="preserve">Purchase / Source URL</x:t>
  </x:si>
  <x:si>
    <x:t xml:space="preserve">Safety and Design Notes</x:t>
  </x:si>
  <x:si>
    <x:t xml:space="preserve">Commercial Map ID</x:t>
  </x:si>
  <x:si>
    <x:t xml:space="preserve">HUB-CTRL-01</x:t>
  </x:si>
  <x:si>
    <x:t xml:space="preserve">Hub</x:t>
  </x:si>
  <x:si>
    <x:t xml:space="preserve">Controller</x:t>
  </x:si>
  <x:si>
    <x:t xml:space="preserve">ESP32 DevKit V1, 30-pin</x:t>
  </x:si>
  <x:si>
    <x:t xml:space="preserve">Existing central controller; Wi-Fi + ESP-NOW</x:t>
  </x:si>
  <x:si>
    <x:t xml:space="preserve">P0</x:t>
  </x:si>
  <x:si>
    <x:t xml:space="preserve">Estimate / already owned</x:t>
  </x:si>
  <x:si>
    <x:t xml:space="preserve">Power through USB or regulated 5V/VIN only.</x:t>
  </x:si>
  <x:si>
    <x:t xml:space="preserve">C-CTRL-HUB</x:t>
  </x:si>
  <x:si>
    <x:t xml:space="preserve">NODE-CTRL-01</x:t>
  </x:si>
  <x:si>
    <x:t xml:space="preserve">Nodes</x:t>
  </x:si>
  <x:si>
    <x:t xml:space="preserve">ESP32-C3 SuperMini with soldered male headers</x:t>
  </x:si>
  <x:si>
    <x:t xml:space="preserve">One controller per wireless sensor node</x:t>
  </x:si>
  <x:si>
    <x:t xml:space="preserve">Budget estimate; enter cart price</x:t>
  </x:si>
  <x:si>
    <x:t xml:space="preserve">https://robu.in/product/esp32-c3-development-board-with-soldering/</x:t>
  </x:si>
  <x:si>
    <x:t xml:space="preserve">GPIO is 3.3V only. Gate configuration adds one node.</x:t>
  </x:si>
  <x:si>
    <x:t xml:space="preserve">C-CTRL-NODE</x:t>
  </x:si>
  <x:si>
    <x:t xml:space="preserve">SYS-PIR-01</x:t>
  </x:si>
  <x:si>
    <x:t xml:space="preserve">Hub + Nodes</x:t>
  </x:si>
  <x:si>
    <x:t xml:space="preserve">Sensor</x:t>
  </x:si>
  <x:si>
    <x:t xml:space="preserve">SmartElex AM312 PIR with lens</x:t>
  </x:si>
  <x:si>
    <x:t xml:space="preserve">Hub/common room + Room 1 + pooja + kitchen + primary bathroom</x:t>
  </x:si>
  <x:si>
    <x:t xml:space="preserve">Robocraze listed price incl. GST; only 3 shown in stock on verification date</x:t>
  </x:si>
  <x:si>
    <x:t xml:space="preserve">https://robocraze.com/products/smartelex-am312-pir-motion-sensor</x:t>
  </x:si>
  <x:si>
    <x:t xml:space="preserve">Base design needs five. Split the order or source two identical AM312 modules elsewhere if stock remains limited.</x:t>
  </x:si>
  <x:si>
    <x:t xml:space="preserve">C-PIR</x:t>
  </x:si>
  <x:si>
    <x:t xml:space="preserve">DOOR-01</x:t>
  </x:si>
  <x:si>
    <x:t xml:space="preserve">Main door</x:t>
  </x:si>
  <x:si>
    <x:t xml:space="preserve">MC-38 wired magnetic door contact</x:t>
  </x:si>
  <x:si>
    <x:t xml:space="preserve">Door open/closed state</x:t>
  </x:si>
  <x:si>
    <x:t xml:space="preserve">https://robu.in/product/mc-38-wired-door-window-sensor-magnetic-switch-home-alarm-system/</x:t>
  </x:si>
  <x:si>
    <x:t xml:space="preserve">Requires a nearby node or a short cable. A dedicated wireless gate node is reflected in Gate Qty.</x:t>
  </x:si>
  <x:si>
    <x:t xml:space="preserve">C-DOOR</x:t>
  </x:si>
  <x:si>
    <x:t xml:space="preserve">BTN-01</x:t>
  </x:si>
  <x:si>
    <x:t xml:space="preserve">Hub + Room 1</x:t>
  </x:si>
  <x:si>
    <x:t xml:space="preserve">Input</x:t>
  </x:si>
  <x:si>
    <x:t xml:space="preserve">Large momentary push-button module, 5-piece set</x:t>
  </x:si>
  <x:si>
    <x:t xml:space="preserve">Use one on hub and one in Room 1; remaining pieces are spares</x:t>
  </x:si>
  <x:si>
    <x:t xml:space="preserve">https://quartzcomponents.com/collections/all/products/5pcs-set-electronic-building-blocks-big-key-button-module</x:t>
  </x:si>
  <x:si>
    <x:t xml:space="preserve">Use physical buttons for acknowledgement; touch sensor is not the only OK input.</x:t>
  </x:si>
  <x:si>
    <x:t xml:space="preserve">C-BUTTON</x:t>
  </x:si>
  <x:si>
    <x:t xml:space="preserve">ALERT-01</x:t>
  </x:si>
  <x:si>
    <x:t xml:space="preserve">Alert</x:t>
  </x:si>
  <x:si>
    <x:t xml:space="preserve">Active 2-pin buzzer</x:t>
  </x:si>
  <x:si>
    <x:t xml:space="preserve">Audible check-in and fault alert</x:t>
  </x:si>
  <x:si>
    <x:t xml:space="preserve">Already owned</x:t>
  </x:si>
  <x:si>
    <x:t xml:space="preserve">Continuous tone on DC indicates an active buzzer. Do not drive a speaker from this circuit.</x:t>
  </x:si>
  <x:si>
    <x:t xml:space="preserve">C-BUZZER</x:t>
  </x:si>
  <x:si>
    <x:t xml:space="preserve">DRV-01</x:t>
  </x:si>
  <x:si>
    <x:t xml:space="preserve">Driver</x:t>
  </x:si>
  <x:si>
    <x:t xml:space="preserve">BC547 NPN transistor pack</x:t>
  </x:si>
  <x:si>
    <x:t xml:space="preserve">GPIO-controlled buzzer driver</x:t>
  </x:si>
  <x:si>
    <x:t xml:space="preserve">https://robu.in/product/bc547-npn-transistor-pack-of-20/</x:t>
  </x:si>
  <x:si>
    <x:t xml:space="preserve">Check transistor pinout; one transistor is used and the rest are spares.</x:t>
  </x:si>
  <x:si>
    <x:t xml:space="preserve">C-TRANSISTOR</x:t>
  </x:si>
  <x:si>
    <x:t xml:space="preserve">R-BASE-01</x:t>
  </x:si>
  <x:si>
    <x:t xml:space="preserve">Passive</x:t>
  </x:si>
  <x:si>
    <x:t xml:space="preserve">1k ohm, 1/4W resistor pack</x:t>
  </x:si>
  <x:si>
    <x:t xml:space="preserve">BC547 base-current limiting</x:t>
  </x:si>
  <x:si>
    <x:t xml:space="preserve">Budget estimate</x:t>
  </x:si>
  <x:si>
    <x:t xml:space="preserve">One resistor used.</x:t>
  </x:si>
  <x:si>
    <x:t xml:space="preserve">C-PASSIVES</x:t>
  </x:si>
  <x:si>
    <x:t xml:space="preserve">R-PD-01</x:t>
  </x:si>
  <x:si>
    <x:t xml:space="preserve">10k ohm, 1/4W resistor pack</x:t>
  </x:si>
  <x:si>
    <x:t xml:space="preserve">Stable button, reed and transistor input states</x:t>
  </x:si>
  <x:si>
    <x:t xml:space="preserve">Internal pull-ups can be used during bench testing; external parts improve robustness.</x:t>
  </x:si>
  <x:si>
    <x:t xml:space="preserve">D-FLY-01</x:t>
  </x:si>
  <x:si>
    <x:t xml:space="preserve">Protection</x:t>
  </x:si>
  <x:si>
    <x:t xml:space="preserve">1N4148 or 1N4007 diode pack</x:t>
  </x:si>
  <x:si>
    <x:t xml:space="preserve">Flyback protection for electromagnetic buzzer</x:t>
  </x:si>
  <x:si>
    <x:t xml:space="preserve">Optional for piezo buzzer; install if buzzer type is uncertain.</x:t>
  </x:si>
  <x:si>
    <x:t xml:space="preserve">C-PROTECTION</x:t>
  </x:si>
  <x:si>
    <x:t xml:space="preserve">LED-01</x:t>
  </x:si>
  <x:si>
    <x:t xml:space="preserve">Indicator</x:t>
  </x:si>
  <x:si>
    <x:t xml:space="preserve">Red + green 3mm/5mm LEDs</x:t>
  </x:si>
  <x:si>
    <x:t xml:space="preserve">External fault/normal status</x:t>
  </x:si>
  <x:si>
    <x:t xml:space="preserve">Use two LEDs or one RGB LED.</x:t>
  </x:si>
  <x:si>
    <x:t xml:space="preserve">C-INDICATOR</x:t>
  </x:si>
  <x:si>
    <x:t xml:space="preserve">R-LED-01</x:t>
  </x:si>
  <x:si>
    <x:t xml:space="preserve">220-330 ohm resistor pack</x:t>
  </x:si>
  <x:si>
    <x:t xml:space="preserve">LED current limiting</x:t>
  </x:si>
  <x:si>
    <x:t xml:space="preserve">One resistor per LED channel.</x:t>
  </x:si>
  <x:si>
    <x:t xml:space="preserve">OLED-01</x:t>
  </x:si>
  <x:si>
    <x:t xml:space="preserve">Display</x:t>
  </x:si>
  <x:si>
    <x:t xml:space="preserve">0.96-inch SSD1306 I2C OLED</x:t>
  </x:si>
  <x:si>
    <x:t xml:space="preserve">Local status, node health and acknowledgement prompts</x:t>
  </x:si>
  <x:si>
    <x:t xml:space="preserve">Use 3.3V I2C logic; select safe GPIOs in firmware.</x:t>
  </x:si>
  <x:si>
    <x:t xml:space="preserve">C-DISPLAY</x:t>
  </x:si>
  <x:si>
    <x:t xml:space="preserve">PWR-HUB-01</x:t>
  </x:si>
  <x:si>
    <x:t xml:space="preserve">Power</x:t>
  </x:si>
  <x:si>
    <x:t xml:space="preserve">Dual-18650 V8 shield, 5V output</x:t>
  </x:si>
  <x:si>
    <x:t xml:space="preserve">Temporary battery supply for prototype hub</x:t>
  </x:si>
  <x:si>
    <x:t xml:space="preserve">Quartz listed price</x:t>
  </x:si>
  <x:si>
    <x:t xml:space="preserve">https://quartzcomponents.com/products/2-x-18650-battery-shield-module-for-arduino-esp8266-and-raspberry-pi</x:t>
  </x:si>
  <x:si>
    <x:t xml:space="preserve">Not documented as seamless UPS. Charge hub switched off until tested.</x:t>
  </x:si>
  <x:si>
    <x:t xml:space="preserve">C-HUB-POWER</x:t>
  </x:si>
  <x:si>
    <x:t xml:space="preserve">PWR-NODE-01</x:t>
  </x:si>
  <x:si>
    <x:t xml:space="preserve">Single-18650 shield with charger/protection and 5V output</x:t>
  </x:si>
  <x:si>
    <x:t xml:space="preserve">Fastest prototype power path; one per node</x:t>
  </x:si>
  <x:si>
    <x:t xml:space="preserve">Quartz listed price; only 6 shown in stock on verification date</x:t>
  </x:si>
  <x:si>
    <x:t xml:space="preserve">https://quartzcomponents.com/products/18650-battery-shield-module-for-arduino-esp8266-and-raspberry-pi</x:t>
  </x:si>
  <x:si>
    <x:t xml:space="preserve">Do not also buy TP4056 + TPS63020 for the same node. Measure standby current.</x:t>
  </x:si>
  <x:si>
    <x:t xml:space="preserve">C-NODE-POWER</x:t>
  </x:si>
  <x:si>
    <x:t xml:space="preserve">BAT-01</x:t>
  </x:si>
  <x:si>
    <x:t xml:space="preserve">System</x:t>
  </x:si>
  <x:si>
    <x:t xml:space="preserve">Battery</x:t>
  </x:si>
  <x:si>
    <x:t xml:space="preserve">DMEGC 3.7V 2900mAh 18650 cell</x:t>
  </x:si>
  <x:si>
    <x:t xml:space="preserve">Two matched cells for hub and one per node</x:t>
  </x:si>
  <x:si>
    <x:t xml:space="preserve">Budget estimate; user owns four</x:t>
  </x:si>
  <x:si>
    <x:t xml:space="preserve">Buy two more for base system. Use a new matched pair in hub; never mix cell charge levels in parallel.</x:t>
  </x:si>
  <x:si>
    <x:t xml:space="preserve">C-BATTERY</x:t>
  </x:si>
  <x:si>
    <x:t xml:space="preserve">CHG-01</x:t>
  </x:si>
  <x:si>
    <x:t xml:space="preserve">External power</x:t>
  </x:si>
  <x:si>
    <x:t xml:space="preserve">BIS-certified 5V/2A USB mobile charger</x:t>
  </x:si>
  <x:si>
    <x:t xml:space="preserve">Hub power and V8 shield charging</x:t>
  </x:si>
  <x:si>
    <x:t xml:space="preserve">Existing charger assumed; verify 5V rating</x:t>
  </x:si>
  <x:si>
    <x:t xml:space="preserve">Do not use damaged or unbranded mains adapters.</x:t>
  </x:si>
  <x:si>
    <x:t xml:space="preserve">C-ADAPTER</x:t>
  </x:si>
  <x:si>
    <x:t xml:space="preserve">CAB-CHG-01</x:t>
  </x:si>
  <x:si>
    <x:t xml:space="preserve">Cable</x:t>
  </x:si>
  <x:si>
    <x:t xml:space="preserve">Short Micro-USB charging cable</x:t>
  </x:si>
  <x:si>
    <x:t xml:space="preserve">V8 shield charging input</x:t>
  </x:si>
  <x:si>
    <x:t xml:space="preserve">Use a cable that is not sharply bent inside the case.</x:t>
  </x:si>
  <x:si>
    <x:t xml:space="preserve">C-CABLE</x:t>
  </x:si>
  <x:si>
    <x:t xml:space="preserve">CAB-C3-01</x:t>
  </x:si>
  <x:si>
    <x:t xml:space="preserve">Development</x:t>
  </x:si>
  <x:si>
    <x:t xml:space="preserve">USB-C data cable</x:t>
  </x:si>
  <x:si>
    <x:t xml:space="preserve">Initial flashing and recovery of ESP32-C3 nodes</x:t>
  </x:si>
  <x:si>
    <x:t xml:space="preserve">OTA can handle routine updates, but retain physical programming access.</x:t>
  </x:si>
  <x:si>
    <x:t xml:space="preserve">C-TEST</x:t>
  </x:si>
  <x:si>
    <x:t xml:space="preserve">CAB-HUB-01</x:t>
  </x:si>
  <x:si>
    <x:t xml:space="preserve">Micro-USB data cable for ESP32 DevKit</x:t>
  </x:si>
  <x:si>
    <x:t xml:space="preserve">Initial hub flashing and recovery</x:t>
  </x:si>
  <x:si>
    <x:t xml:space="preserve">Confirm it is a data cable, not charge-only.</x:t>
  </x:si>
  <x:si>
    <x:t xml:space="preserve">CAP-BULK-01</x:t>
  </x:si>
  <x:si>
    <x:t xml:space="preserve">100uF electrolytic capacitor pack, &gt;=10V</x:t>
  </x:si>
  <x:si>
    <x:t xml:space="preserve">Local supply support during ESP32 radio-current bursts</x:t>
  </x:si>
  <x:si>
    <x:t xml:space="preserve">Install one near each board; observe polarity.</x:t>
  </x:si>
  <x:si>
    <x:t xml:space="preserve">CAP-DECOUP-01</x:t>
  </x:si>
  <x:si>
    <x:t xml:space="preserve">100nF ceramic capacitor pack</x:t>
  </x:si>
  <x:si>
    <x:t xml:space="preserve">High-frequency decoupling near sensors and controllers</x:t>
  </x:si>
  <x:si>
    <x:t xml:space="preserve">Install near supply pins.</x:t>
  </x:si>
  <x:si>
    <x:t xml:space="preserve">BMON-01</x:t>
  </x:si>
  <x:si>
    <x:t xml:space="preserve">Battery monitoring</x:t>
  </x:si>
  <x:si>
    <x:t xml:space="preserve">220k + 100k resistor-divider sets and 100nF capacitors</x:t>
  </x:si>
  <x:si>
    <x:t xml:space="preserve">Firmware-visible low-battery warning</x:t>
  </x:si>
  <x:si>
    <x:t xml:space="preserve">P0 recommended</x:t>
  </x:si>
  <x:si>
    <x:t xml:space="preserve">Per-device estimate</x:t>
  </x:si>
  <x:si>
    <x:t xml:space="preserve">Connect only through a divider to an ADC pin; never put raw 4.2V on GPIO.</x:t>
  </x:si>
  <x:si>
    <x:t xml:space="preserve">C-FUELGAUGE</x:t>
  </x:si>
  <x:si>
    <x:t xml:space="preserve">PCB-HUB-01</x:t>
  </x:si>
  <x:si>
    <x:t xml:space="preserve">Assembly</x:t>
  </x:si>
  <x:si>
    <x:t xml:space="preserve">General-purpose perfboard</x:t>
  </x:si>
  <x:si>
    <x:t xml:space="preserve">Mount hub circuitry</x:t>
  </x:si>
  <x:si>
    <x:t xml:space="preserve">Choose size after arranging DevKit, OLED and power connectors.</x:t>
  </x:si>
  <x:si>
    <x:t xml:space="preserve">C-PCB</x:t>
  </x:si>
  <x:si>
    <x:t xml:space="preserve">PCB-NODE-01</x:t>
  </x:si>
  <x:si>
    <x:t xml:space="preserve">One per sensor node</x:t>
  </x:si>
  <x:si>
    <x:t xml:space="preserve">Cut only after testing the circuit on a breadboard.</x:t>
  </x:si>
  <x:si>
    <x:t xml:space="preserve">HDR-01</x:t>
  </x:si>
  <x:si>
    <x:t xml:space="preserve">2.54mm breakable female header, 40-pin strip</x:t>
  </x:si>
  <x:si>
    <x:t xml:space="preserve">Replaceable mounting for DevKit and C3 boards</x:t>
  </x:si>
  <x:si>
    <x:t xml:space="preserve">Use only when MCU boards have male headers.</x:t>
  </x:si>
  <x:si>
    <x:t xml:space="preserve">C-CONNECTOR</x:t>
  </x:si>
  <x:si>
    <x:t xml:space="preserve">JST-01</x:t>
  </x:si>
  <x:si>
    <x:t xml:space="preserve">Connector</x:t>
  </x:si>
  <x:si>
    <x:t xml:space="preserve">JST-XH 2-pin plug/socket sets</x:t>
  </x:si>
  <x:si>
    <x:t xml:space="preserve">Detachable battery, buzzer and sensor wiring</x:t>
  </x:si>
  <x:si>
    <x:t xml:space="preserve">Per-pair estimate</x:t>
  </x:si>
  <x:si>
    <x:t xml:space="preserve">Observe polarity; label every mating pair.</x:t>
  </x:si>
  <x:si>
    <x:t xml:space="preserve">WIRE-PWR-01</x:t>
  </x:si>
  <x:si>
    <x:t xml:space="preserve">Wiring</x:t>
  </x:si>
  <x:si>
    <x:t xml:space="preserve">22AWG 2-core red/black stranded silicone cable — 1m unit</x:t>
  </x:si>
  <x:si>
    <x:t xml:space="preserve">All main power wiring: hub/node battery shields to switches and ESP32; perfboard 5V/GND rails; speaker pair</x:t>
  </x:si>
  <x:si>
    <x:t xml:space="preserve">Robu listed per-metre price; order quantity 3</x:t>
  </x:si>
  <x:si>
    <x:t xml:space="preserve">https://robu.in/product/22awg-multicore-insulated-cable2-cores-silicone/</x:t>
  </x:si>
  <x:si>
    <x:t xml:space="preserve">Mandatory. Red is positive supply; black is GND. Do not solder directly to an 18650 cell. Strip only the end that enters the perfboard pad.</x:t>
  </x:si>
  <x:si>
    <x:t xml:space="preserve">C-WIRE</x:t>
  </x:si>
  <x:si>
    <x:t xml:space="preserve">WIRE-SIG-01</x:t>
  </x:si>
  <x:si>
    <x:t xml:space="preserve">10-colour multistrand ribbon cable — 1m unit</x:t>
  </x:si>
  <x:si>
    <x:t xml:space="preserve">All low-current signal and local sensor wiring: PIR, reed switch, buttons, OLED, buzzer control and perfboard point-to-point links</x:t>
  </x:si>
  <x:si>
    <x:t xml:space="preserve">QuartzComponents listed per-metre price; order quantity 2; multistrand and intended for perfboard use</x:t>
  </x:si>
  <x:si>
    <x:t xml:space="preserve">https://quartzcomponents.com/products/ribbon-cable-multi-strand-cable-1-meter</x:t>
  </x:si>
  <x:si>
    <x:t xml:space="preserve">Mandatory unless enough existing Dupont jumpers will be cut and soldered for signals. Never use this ribbon or thin Dupont leads for the main battery/hub power path.</x:t>
  </x:si>
  <x:si>
    <x:t xml:space="preserve">HS-01</x:t>
  </x:si>
  <x:si>
    <x:t xml:space="preserve">Insulation</x:t>
  </x:si>
  <x:si>
    <x:t xml:space="preserve">Heat-shrink assortment</x:t>
  </x:si>
  <x:si>
    <x:t xml:space="preserve">Insulate solder joints and battery connections</x:t>
  </x:si>
  <x:si>
    <x:t xml:space="preserve">No exposed battery or mains conductors.</x:t>
  </x:si>
  <x:si>
    <x:t xml:space="preserve">C-INSULATION</x:t>
  </x:si>
  <x:si>
    <x:t xml:space="preserve">SPACER-01</x:t>
  </x:si>
  <x:si>
    <x:t xml:space="preserve">Mechanical</x:t>
  </x:si>
  <x:si>
    <x:t xml:space="preserve">M3 x 6mm nylon spacer set</x:t>
  </x:si>
  <x:si>
    <x:t xml:space="preserve">Mount five perfboards</x:t>
  </x:si>
  <x:si>
    <x:t xml:space="preserve">Per-spacer estimate</x:t>
  </x:si>
  <x:si>
    <x:t xml:space="preserve">Four per enclosure; final screw length depends on case-wall thickness.</x:t>
  </x:si>
  <x:si>
    <x:t xml:space="preserve">C-MECHANICAL</x:t>
  </x:si>
  <x:si>
    <x:t xml:space="preserve">SCREW-01</x:t>
  </x:si>
  <x:si>
    <x:t xml:space="preserve">M3 x 6mm screws with matching nuts</x:t>
  </x:si>
  <x:si>
    <x:t xml:space="preserve">Secure perfboards/spacers</x:t>
  </x:si>
  <x:si>
    <x:t xml:space="preserve">Per-fastener estimate</x:t>
  </x:si>
  <x:si>
    <x:t xml:space="preserve">Do not substitute 25mm bolts as spacers.</x:t>
  </x:si>
  <x:si>
    <x:t xml:space="preserve">MOUNT-01</x:t>
  </x:si>
  <x:si>
    <x:t xml:space="preserve">3M-type VHB tape plus small mounting screws</x:t>
  </x:si>
  <x:si>
    <x:t xml:space="preserve">Install PIR and magnetic door-contact housings</x:t>
  </x:si>
  <x:si>
    <x:t xml:space="preserve">Use screws where paint/dust makes tape unreliable.</x:t>
  </x:si>
  <x:si>
    <x:t xml:space="preserve">CASE-01</x:t>
  </x:si>
  <x:si>
    <x:t xml:space="preserve">Enclosure</x:t>
  </x:si>
  <x:si>
    <x:t xml:space="preserve">Prototype ABS project boxes</x:t>
  </x:si>
  <x:si>
    <x:t xml:space="preserve">One hub case plus one per node</x:t>
  </x:si>
  <x:si>
    <x:t xml:space="preserve">Buy after assembly</x:t>
  </x:si>
  <x:si>
    <x:t xml:space="preserve">Price intentionally blank</x:t>
  </x:si>
  <x:si>
    <x:t xml:space="preserve">Measure the final perfboard, connectors, lens and cable bend radius first.</x:t>
  </x:si>
  <x:si>
    <x:t xml:space="preserve">C-ENCLOSURE</x:t>
  </x:si>
  <x:si>
    <x:t xml:space="preserve">TOOL-DMM-01</x:t>
  </x:si>
  <x:si>
    <x:t xml:space="preserve">Tools</x:t>
  </x:si>
  <x:si>
    <x:t xml:space="preserve">Test equipment</x:t>
  </x:si>
  <x:si>
    <x:t xml:space="preserve">Digital multimeter with DC voltage/current/continuity</x:t>
  </x:si>
  <x:si>
    <x:t xml:space="preserve">Battery matching, wiring checks and current measurements</x:t>
  </x:si>
  <x:si>
    <x:t xml:space="preserve">Budget target</x:t>
  </x:si>
  <x:si>
    <x:t xml:space="preserve">Verify cell polarity and voltage before every parallel installation.</x:t>
  </x:si>
  <x:si>
    <x:t xml:space="preserve">TOOL-BB-01</x:t>
  </x:si>
  <x:si>
    <x:t xml:space="preserve">Prototyping</x:t>
  </x:si>
  <x:si>
    <x:t xml:space="preserve">Breadboard and male/female Dupont jumper-wire set</x:t>
  </x:si>
  <x:si>
    <x:t xml:space="preserve">Bench verification; existing jumper wires may be cut, stripped, tinned and soldered for low-current signals</x:t>
  </x:si>
  <x:si>
    <x:t xml:space="preserve">Budget estimate; do not repurchase if already owned</x:t>
  </x:si>
  <x:si>
    <x:t xml:space="preserve">Allowed for GPIO/PIR/button/reed/OLED signals. Do not use for battery output, shared 5V/GND rails, speaker power or loose installed connections.</x:t>
  </x:si>
  <x:si>
    <x:t xml:space="preserve">TOOL-SOLDER-01</x:t>
  </x:si>
  <x:si>
    <x:t xml:space="preserve">Consumables</x:t>
  </x:si>
  <x:si>
    <x:t xml:space="preserve">Solder, flux and cleaning alcohol</x:t>
  </x:si>
  <x:si>
    <x:t xml:space="preserve">Permanent perfboard assembly</x:t>
  </x:si>
  <x:si>
    <x:t xml:space="preserve">Inspect for solder bridges before inserting batteries.</x:t>
  </x:si>
  <x:si>
    <x:t xml:space="preserve">FUT-LX-01</x:t>
  </x:si>
  <x:si>
    <x:t xml:space="preserve">Future hub</x:t>
  </x:si>
  <x:si>
    <x:t xml:space="preserve">Power qualification</x:t>
  </x:si>
  <x:si>
    <x:t xml:space="preserve">LX-2BUPS 5V Type-C dual-18650 UPS</x:t>
  </x:si>
  <x:si>
    <x:t xml:space="preserve">Evaluate after restock for hub pilot; not used in nodes</x:t>
  </x:si>
  <x:si>
    <x:t xml:space="preserve">Future qualification</x:t>
  </x:si>
  <x:si>
    <x:t xml:space="preserve">FlyRobo listed price; out of stock, estimated restock 20-24 Sep 2026</x:t>
  </x:si>
  <x:si>
    <x:t xml:space="preserve">https://www.flyrobo.in/lx-2bups-3a-18650-lithium-battery-ups-boost-module-5v-type-c</x:t>
  </x:si>
  <x:si>
    <x:t xml:space="preserve">Must pass seamless-transfer, cutoff, thermal, EMI and short-circuit testing before any paid pilot.</x:t>
  </x:si>
  <x:si>
    <x:t xml:space="preserve">OPT-DFR-01</x:t>
  </x:si>
  <x:si>
    <x:t xml:space="preserve">Future node</x:t>
  </x:si>
  <x:si>
    <x:t xml:space="preserve">Power evaluation</x:t>
  </x:si>
  <x:si>
    <x:t xml:space="preserve">DFRobot DFR1026 5V/2A charge-discharge module</x:t>
  </x:si>
  <x:si>
    <x:t xml:space="preserve">Documented compact alternative for power experiments</x:t>
  </x:si>
  <x:si>
    <x:t xml:space="preserve">Optional evaluation</x:t>
  </x:si>
  <x:si>
    <x:t xml:space="preserve">Fab.to.Lab listed price</x:t>
  </x:si>
  <x:si>
    <x:t xml:space="preserve">https://www.fabtolab.com/dfrobot-dc-dc-charge-discharge-integrated-module-5v-2a-dfr1026</x:t>
  </x:si>
  <x:si>
    <x:t xml:space="preserve">Low stated standby current but still boosts to 5V; requires soldered battery/input/output wiring.</x:t>
  </x:si>
  <x:si>
    <x:t xml:space="preserve">P1-AUDIO-01</x:t>
  </x:si>
  <x:si>
    <x:t xml:space="preserve">Audio</x:t>
  </x:si>
  <x:si>
    <x:t xml:space="preserve">MAX98357A + existing 8-ohm speaker</x:t>
  </x:si>
  <x:si>
    <x:t xml:space="preserve">Spoken prompts</x:t>
  </x:si>
  <x:si>
    <x:t xml:space="preserve">P1 - do not buy</x:t>
  </x:si>
  <x:si>
    <x:t xml:space="preserve">Not required for the first buzzer-and-button prototype.</x:t>
  </x:si>
  <x:si>
    <x:t xml:space="preserve">C-AUDIO</x:t>
  </x:si>
  <x:si>
    <x:t xml:space="preserve">P1-ENV-01</x:t>
  </x:si>
  <x:si>
    <x:t xml:space="preserve">Future nodes</x:t>
  </x:si>
  <x:si>
    <x:t xml:space="preserve">Temperature/humidity or smoke sensing</x:t>
  </x:si>
  <x:si>
    <x:t xml:space="preserve">Future contextual/activity experiments</x:t>
  </x:si>
  <x:si>
    <x:t xml:space="preserve">Excluded from P0</x:t>
  </x:si>
  <x:si>
    <x:t xml:space="preserve">Do not present a temperature sensor as a certified fire detector.</x:t>
  </x:si>
  <x:si>
    <x:t xml:space="preserve">C-FUTURE-SENSOR</x:t>
  </x:si>
  <x:si>
    <x:t xml:space="preserve">Commercial-Grade Upgrade and Qualification Map</x:t>
  </x:si>
  <x:si>
    <x:t xml:space="preserve">“Commercial grade” here means traceable parts, controlled design and documented testing. It does not mean the complete product is certified merely because one listed component is used. LX-2BUPS remains a pilot qualification candidate, not a frozen production choice.</x:t>
  </x:si>
  <x:si>
    <x:t xml:space="preserve">Map ID</x:t>
  </x:si>
  <x:si>
    <x:t xml:space="preserve">Prototype component</x:t>
  </x:si>
  <x:si>
    <x:t xml:space="preserve">Commercial alternative</x:t>
  </x:si>
  <x:si>
    <x:t xml:space="preserve">Why it is better</x:t>
  </x:si>
  <x:si>
    <x:t xml:space="preserve">Qualification / exit criterion</x:t>
  </x:si>
  <x:si>
    <x:t xml:space="preserve">Procurement and design note</x:t>
  </x:si>
  <x:si>
    <x:t xml:space="preserve">Manufacturer / reference URL</x:t>
  </x:si>
  <x:si>
    <x:t xml:space="preserve">ESP32 DevKit V1</x:t>
  </x:si>
  <x:si>
    <x:t xml:space="preserve">Espressif ESP32-S3-WROOM-1 module on a custom PCB</x:t>
  </x:si>
  <x:si>
    <x:t xml:space="preserve">Traceable module, secure boot/flash encryption, production connector and future audio headroom</x:t>
  </x:si>
  <x:si>
    <x:t xml:space="preserve">Stable 72-hour load test; RF range; OTA rollback; secure provisioning</x:t>
  </x:si>
  <x:si>
    <x:t xml:space="preserve">Use an authorized distributor and lock the exact module suffix</x:t>
  </x:si>
  <x:si>
    <x:t xml:space="preserve">https://www.espressif.com/en/products/modules</x:t>
  </x:si>
  <x:si>
    <x:t xml:space="preserve">ESP32-C3 SuperMini</x:t>
  </x:si>
  <x:si>
    <x:t xml:space="preserve">Espressif ESP32-C3-MINI-1-N4 on a custom PCB</x:t>
  </x:si>
  <x:si>
    <x:t xml:space="preserve">Removes unknown regulator/LED leakage and gives controlled RF/layout</x:t>
  </x:si>
  <x:si>
    <x:t xml:space="preserve">Deep-sleep current, RF range, wake reliability and OTA recovery pass</x:t>
  </x:si>
  <x:si>
    <x:t xml:space="preserve">Use Espressif hardware-design guidelines</x:t>
  </x:si>
  <x:si>
    <x:t xml:space="preserve">https://www.espressif.com/sites/default/files/documentation/esp32-c3-mini-1_datasheet_en.pdf</x:t>
  </x:si>
  <x:si>
    <x:t xml:space="preserve">SmartElex AM312</x:t>
  </x:si>
  <x:si>
    <x:t xml:space="preserve">Panasonic PaPIRs EKMB low-current series</x:t>
  </x:si>
  <x:si>
    <x:t xml:space="preserve">Datasheet-controlled sensitivity, very low current and long-term supply</x:t>
  </x:si>
  <x:si>
    <x:t xml:space="preserve">Room-by-room false-positive/false-negative trial across temperature and seasons</x:t>
  </x:si>
  <x:si>
    <x:t xml:space="preserve">Select lens and detection pattern for each enclosure</x:t>
  </x:si>
  <x:si>
    <x:t xml:space="preserve">https://na.industrial.panasonic.com/products/sensors/sensors-automotive-industrial-applications/pir-motion-sensor-papirs</x:t>
  </x:si>
  <x:si>
    <x:t xml:space="preserve">Generic MC-38 contact</x:t>
  </x:si>
  <x:si>
    <x:t xml:space="preserve">Sentek or Honeywell sealed, screw-mount magnetic contact</x:t>
  </x:si>
  <x:si>
    <x:t xml:space="preserve">Better housing, lead quality and declared contact rating</x:t>
  </x:si>
  <x:si>
    <x:t xml:space="preserve">10,000 open/close cycles; alignment tolerance; cable-pull test</x:t>
  </x:si>
  <x:si>
    <x:t xml:space="preserve">Prefer normally-closed alarm contact for wire-break detection</x:t>
  </x:si>
  <x:si>
    <x:t xml:space="preserve">https://robu.in/product-category/magnetic-switches/</x:t>
  </x:si>
  <x:si>
    <x:t xml:space="preserve">Big-key hobby module</x:t>
  </x:si>
  <x:si>
    <x:t xml:space="preserve">APEM/Schurter/Omron panel-mount momentary switch, IP-rated where needed</x:t>
  </x:si>
  <x:si>
    <x:t xml:space="preserve">Defined actuation force, lifetime and panel mounting</x:t>
  </x:si>
  <x:si>
    <x:t xml:space="preserve">Senior usability test; 10,000 presses; stuck-button detection</x:t>
  </x:si>
  <x:si>
    <x:t xml:space="preserve">Choose a large contrasting cap and tactile click</x:t>
  </x:si>
  <x:si>
    <x:t xml:space="preserve">https://www.apem.com/idec-apem/en_US/Switches/Pushbutton-switches/c/Pushbutton_switches</x:t>
  </x:si>
  <x:si>
    <x:t xml:space="preserve">Generic active buzzer</x:t>
  </x:si>
  <x:si>
    <x:t xml:space="preserve">CUI Devices or Mallory Sonalert active buzzer with datasheet</x:t>
  </x:si>
  <x:si>
    <x:t xml:space="preserve">Controlled loudness, voltage and lifecycle</x:t>
  </x:si>
  <x:si>
    <x:t xml:space="preserve">Audible from bedroom/common room; current and temperature within rating</x:t>
  </x:si>
  <x:si>
    <x:t xml:space="preserve">Select 3.3V or 5V version to match final rail</x:t>
  </x:si>
  <x:si>
    <x:t xml:space="preserve">https://www.sameskydevices.com/catalog/audio/buzzers</x:t>
  </x:si>
  <x:si>
    <x:t xml:space="preserve">BC547 through-hole</x:t>
  </x:si>
  <x:si>
    <x:t xml:space="preserve">Nexperia BC847B or MMBT2222A SMD transistor</x:t>
  </x:si>
  <x:si>
    <x:t xml:space="preserve">Traceable production part and automated assembly</x:t>
  </x:si>
  <x:si>
    <x:t xml:space="preserve">Worst-case buzzer current with GPIO-high margin</x:t>
  </x:si>
  <x:si>
    <x:t xml:space="preserve">Retain base resistor and default-off pull-down</x:t>
  </x:si>
  <x:si>
    <x:t xml:space="preserve">https://www.nexperia.com/product/BC847B</x:t>
  </x:si>
  <x:si>
    <x:t xml:space="preserve">Generic SSD1306 module</x:t>
  </x:si>
  <x:si>
    <x:t xml:space="preserve">Branded OLED module from Raystar/Newhaven, or status LEDs only</x:t>
  </x:si>
  <x:si>
    <x:t xml:space="preserve">Known display lifetime and controlled connector</x:t>
  </x:si>
  <x:si>
    <x:t xml:space="preserve">Burn-in, readable viewing angle and recovery after brownout</x:t>
  </x:si>
  <x:si>
    <x:t xml:space="preserve">Consider removing the display if the phone dashboard is sufficient</x:t>
  </x:si>
  <x:si>
    <x:t xml:space="preserve">https://newhavendisplay.com/oled-displays/</x:t>
  </x:si>
  <x:si>
    <x:t xml:space="preserve">V8 shield; LX-2BUPS evaluation</x:t>
  </x:si>
  <x:si>
    <x:t xml:space="preserve">Custom 1S2P power path using BQ24074 or MCP73871 plus a qualified 5V boost stage; DFRobot DFR0446 only for pilot</x:t>
  </x:si>
  <x:si>
    <x:t xml:space="preserve">Controlled charging, load sharing, thermal design and documented components</x:t>
  </x:si>
  <x:si>
    <x:t xml:space="preserve">30 transfer cycles without reboot; cutoff; short; thermal; EMI; 72-hour run</x:t>
  </x:si>
  <x:si>
    <x:t xml:space="preserve">LX-2BUPS is not automatically commercial grade; lock supplier/revision for pilot</x:t>
  </x:si>
  <x:si>
    <x:t xml:space="preserve">https://www.ti.com/product/BQ24074</x:t>
  </x:si>
  <x:si>
    <x:t xml:space="preserve">Single-cell shield / DFR1026 evaluation</x:t>
  </x:si>
  <x:si>
    <x:t xml:space="preserve">BQ25185 charger/power path plus TPS63802 low-Iq 3.3V buck-boost on custom PCB</x:t>
  </x:si>
  <x:si>
    <x:t xml:space="preserve">Avoids wasteful 5V boost and enables predictable battery life</x:t>
  </x:si>
  <x:si>
    <x:t xml:space="preserve">Measured sleep current and battery runtime meet product target</x:t>
  </x:si>
  <x:si>
    <x:t xml:space="preserve">Choose charge current from the certified cell specification</x:t>
  </x:si>
  <x:si>
    <x:t xml:space="preserve">https://www.ti.com/product/BQ25185</x:t>
  </x:si>
  <x:si>
    <x:t xml:space="preserve">Loose DMEGC 18650 cells in holders</x:t>
  </x:si>
  <x:si>
    <x:t xml:space="preserve">Certified welded 1S or 1S2P battery pack with protection, NTC and keyed connector</x:t>
  </x:si>
  <x:si>
    <x:t xml:space="preserve">Customers do not handle loose cells; pack assembly and polarity are controlled</x:t>
  </x:si>
  <x:si>
    <x:t xml:space="preserve">Capacity, short, charge, drop and temperature tests; supplier certificates reviewed</x:t>
  </x:si>
  <x:si>
    <x:t xml:space="preserve">Use branded cells from an authorized channel; never mix cells</x:t>
  </x:si>
  <x:si>
    <x:t xml:space="preserve">https://www.molicel.com/product/inr18650m35a/</x:t>
  </x:si>
  <x:si>
    <x:t xml:space="preserve">Existing mobile charger</x:t>
  </x:si>
  <x:si>
    <x:t xml:space="preserve">BIS-certified 5V/2A external adapter from a traceable supplier</x:t>
  </x:si>
  <x:si>
    <x:t xml:space="preserve">Mains safety remains outside the low-voltage enclosure</x:t>
  </x:si>
  <x:si>
    <x:t xml:space="preserve">Adapter certificates, output ripple, temperature and brownout tests</x:t>
  </x:si>
  <x:si>
    <x:t xml:space="preserve">Ship one approved adapter model or publish a strict compatibility list</x:t>
  </x:si>
  <x:si>
    <x:t xml:space="preserve">https://www.bis.gov.in/</x:t>
  </x:si>
  <x:si>
    <x:t xml:space="preserve">Generic resistor/capacitor packs</x:t>
  </x:si>
  <x:si>
    <x:t xml:space="preserve">Yageo resistors, Murata ceramic capacitors and Panasonic low-ESR bulk capacitors</x:t>
  </x:si>
  <x:si>
    <x:t xml:space="preserve">Tolerance, derating and supply traceability</x:t>
  </x:si>
  <x:si>
    <x:t xml:space="preserve">Operate below voltage/current/temperature derating limits</x:t>
  </x:si>
  <x:si>
    <x:t xml:space="preserve">Use 1% resistors for battery measurement</x:t>
  </x:si>
  <x:si>
    <x:t xml:space="preserve">https://www.yageo.com/</x:t>
  </x:si>
  <x:si>
    <x:t xml:space="preserve">Generic diode and module protection</x:t>
  </x:si>
  <x:si>
    <x:t xml:space="preserve">Nexperia diode plus resettable PTC/eFuse and reverse-polarity protection</x:t>
  </x:si>
  <x:si>
    <x:t xml:space="preserve">Controlled fault response and safer battery wiring</x:t>
  </x:si>
  <x:si>
    <x:t xml:space="preserve">Output short, reverse connection and recovery tests</x:t>
  </x:si>
  <x:si>
    <x:t xml:space="preserve">Protection must be validated at product level</x:t>
  </x:si>
  <x:si>
    <x:t xml:space="preserve">https://www.ti.com/power-management/power-switches/efuse-hotswap-controllers/overview.html</x:t>
  </x:si>
  <x:si>
    <x:t xml:space="preserve">Generic LEDs</x:t>
  </x:si>
  <x:si>
    <x:t xml:space="preserve">Kingbright or Würth Elektronik LEDs with controlled brightness/bin</x:t>
  </x:si>
  <x:si>
    <x:t xml:space="preserve">Consistent visible indication</x:t>
  </x:si>
  <x:si>
    <x:t xml:space="preserve">Readable in daylight and at night without excessive power</x:t>
  </x:si>
  <x:si>
    <x:t xml:space="preserve">Use firmware dimming or resistor selection</x:t>
  </x:si>
  <x:si>
    <x:t xml:space="preserve">https://www.kingbrightusa.com/</x:t>
  </x:si>
  <x:si>
    <x:t xml:space="preserve">ADC resistor divider</x:t>
  </x:si>
  <x:si>
    <x:t xml:space="preserve">MAX17048/MAX17049 fuel gauge</x:t>
  </x:si>
  <x:si>
    <x:t xml:space="preserve">Better state-of-charge estimation without a continuously lossy divider</x:t>
  </x:si>
  <x:si>
    <x:t xml:space="preserve">Compare reported charge against measured discharge cycles</x:t>
  </x:si>
  <x:si>
    <x:t xml:space="preserve">Keep low-battery thresholds conservative</x:t>
  </x:si>
  <x:si>
    <x:t xml:space="preserve">https://www.analog.com/en/products/max17048.html</x:t>
  </x:si>
  <x:si>
    <x:t xml:space="preserve">Perfboard</x:t>
  </x:si>
  <x:si>
    <x:t xml:space="preserve">Custom 2-layer FR-4 PCB, lead-free finish, controlled fab and assembly files</x:t>
  </x:si>
  <x:si>
    <x:t xml:space="preserve">Repeatable wiring, RF layout and testability</x:t>
  </x:si>
  <x:si>
    <x:t xml:space="preserve">ERC/DRC, first-article inspection, programming and production test</x:t>
  </x:si>
  <x:si>
    <x:t xml:space="preserve">Include revision and serial-number marking</x:t>
  </x:si>
  <x:si>
    <x:t xml:space="preserve">https://docs.espressif.com/projects/esp-hardware-design-guidelines/en/latest/esp32c3/</x:t>
  </x:si>
  <x:si>
    <x:t xml:space="preserve">Generic headers/JST-compatible connectors</x:t>
  </x:si>
  <x:si>
    <x:t xml:space="preserve">Genuine JST or Molex keyed locking connectors</x:t>
  </x:si>
  <x:si>
    <x:t xml:space="preserve">Polarity control and documented contact ratings</x:t>
  </x:si>
  <x:si>
    <x:t xml:space="preserve">Insertion cycles, pull test and vibration test</x:t>
  </x:si>
  <x:si>
    <x:t xml:space="preserve">Avoid removable MCU headers in the final product</x:t>
  </x:si>
  <x:si>
    <x:t xml:space="preserve">https://www.molex.com/en-us/products/connectors/wire-to-board-connectors</x:t>
  </x:si>
  <x:si>
    <x:t xml:space="preserve">22AWG red/black power cable plus multistrand ribbon signal cable</x:t>
  </x:si>
  <x:si>
    <x:t xml:space="preserve">UL1007/UL1569 rated wire harnesses with crimped, keyed terminals</x:t>
  </x:si>
  <x:si>
    <x:t xml:space="preserve">Known conductor size, insulation, polarity, strain relief and repeatable assembly</x:t>
  </x:si>
  <x:si>
    <x:t xml:space="preserve">Pull test, current/temperature verification, polarity inspection and connector-cycle test</x:t>
  </x:si>
  <x:si>
    <x:t xml:space="preserve">Maintain red/black power convention; use keyed connectors and documented harness lengths</x:t>
  </x:si>
  <x:si>
    <x:t xml:space="preserve">https://iq.ulprospector.com/en/profile?e=196</x:t>
  </x:si>
  <x:si>
    <x:t xml:space="preserve">Generic heat-shrink</x:t>
  </x:si>
  <x:si>
    <x:t xml:space="preserve">UL-recognized heat-shrink and flame-retardant sleeving</x:t>
  </x:si>
  <x:si>
    <x:t xml:space="preserve">Material traceability and flame behaviour</x:t>
  </x:si>
  <x:si>
    <x:t xml:space="preserve">No exposed conductor after assembly and pull testing</x:t>
  </x:si>
  <x:si>
    <x:t xml:space="preserve">Apply strain relief before closing enclosure</x:t>
  </x:si>
  <x:si>
    <x:t xml:space="preserve">https://www.te.com/en/products/wire-protection-and-management/heat-shrink-tubing.html</x:t>
  </x:si>
  <x:si>
    <x:t xml:space="preserve">Nylon spacers and loose hardware</x:t>
  </x:si>
  <x:si>
    <x:t xml:space="preserve">Moulded PCB bosses or threaded brass inserts with controlled screws</x:t>
  </x:si>
  <x:si>
    <x:t xml:space="preserve">Repeatable assembly and better drop resistance</x:t>
  </x:si>
  <x:si>
    <x:t xml:space="preserve">Drop/vibration test with no board movement or cable damage</x:t>
  </x:si>
  <x:si>
    <x:t xml:space="preserve">Use thread-locking strategy where appropriate</x:t>
  </x:si>
  <x:si>
    <x:t xml:space="preserve">https://www.bossard.com/</x:t>
  </x:si>
  <x:si>
    <x:t xml:space="preserve">Prototype ABS project box</x:t>
  </x:si>
  <x:si>
    <x:t xml:space="preserve">Custom PC-ABS/ABS UL94-rated enclosure with PIR lens geometry and ventilation</x:t>
  </x:si>
  <x:si>
    <x:t xml:space="preserve">Controlled fit, cable bend radius and fire behaviour</x:t>
  </x:si>
  <x:si>
    <x:t xml:space="preserve">Drop, heat, cleaning, ingress and wall-mount tests</x:t>
  </x:si>
  <x:si>
    <x:t xml:space="preserve">Prevent user access to cells and exposed circuitry</x:t>
  </x:si>
  <x:si>
    <x:t xml:space="preserve">https://www.ul.com/services/plastics-recognition-program</x:t>
  </x:si>
  <x:si>
    <x:t xml:space="preserve">Generic short cable</x:t>
  </x:si>
  <x:si>
    <x:t xml:space="preserve">Locking internal cable or board-to-board connector; external USB-C with strain relief</x:t>
  </x:si>
  <x:si>
    <x:t xml:space="preserve">Avoids bent internal consumer cables</x:t>
  </x:si>
  <x:si>
    <x:t xml:space="preserve">Repeated insertion/bend and pull tests</x:t>
  </x:si>
  <x:si>
    <x:t xml:space="preserve">Provide service access without opening the battery compartment</x:t>
  </x:si>
  <x:si>
    <x:t xml:space="preserve">https://www.usb.org/document-library/usb-type-cr-cable-and-connector-specification-release-24</x:t>
  </x:si>
  <x:si>
    <x:t xml:space="preserve">USB cables, breadboard and handheld meter</x:t>
  </x:si>
  <x:si>
    <x:t xml:space="preserve">Pogo-pin/Tag-Connect production pads plus current-profile and functional test fixture</x:t>
  </x:si>
  <x:si>
    <x:t xml:space="preserve">Every unit can be flashed, identified and verified consistently</x:t>
  </x:si>
  <x:si>
    <x:t xml:space="preserve">100% end-of-line test with stored serial-number result</x:t>
  </x:si>
  <x:si>
    <x:t xml:space="preserve">Keep recovery pads accessible after enclosure assembly</x:t>
  </x:si>
  <x:si>
    <x:t xml:space="preserve">https://www.tag-connect.com/</x:t>
  </x:si>
  <x:si>
    <x:t xml:space="preserve">MAX98357A + 8-ohm speaker</x:t>
  </x:si>
  <x:si>
    <x:t xml:space="preserve">Qualified I2S amplifier and speaker with acoustic enclosure</x:t>
  </x:si>
  <x:si>
    <x:t xml:space="preserve">Predictable volume, distortion and supply load</x:t>
  </x:si>
  <x:si>
    <x:t xml:space="preserve">Voice intelligibility and peak-current/brownout testing</x:t>
  </x:si>
  <x:si>
    <x:t xml:space="preserve">Remain P1 until buzzer workflow is validated</x:t>
  </x:si>
  <x:si>
    <x:t xml:space="preserve">https://www.analog.com/en/products/max98357a.html</x:t>
  </x:si>
  <x:si>
    <x:t xml:space="preserve">Temperature/humidity/smoke experiments</x:t>
  </x:si>
  <x:si>
    <x:t xml:space="preserve">Certified standalone smoke/heat alarm integration rather than hobby gas sensors</x:t>
  </x:si>
  <x:si>
    <x:t xml:space="preserve">Avoids unverified life-safety claims</x:t>
  </x:si>
  <x:si>
    <x:t xml:space="preserve">Regulatory and alarm-standard review before any fire-detection claim</x:t>
  </x:si>
  <x:si>
    <x:t xml:space="preserve">Keep environmental sensing contextual only unless independently certified</x:t>
  </x:si>
  <x:si>
    <x:t xml:space="preserve">Family Check-In — Final Wiring and Perfboard Guide</x:t>
  </x:si>
  <x:si>
    <x:t xml:space="preserve">Frozen prototype decision: only two wire products are required. The 2-core/3-core/26AWG alternatives discussed earlier are not additional purchases.</x:t>
  </x:si>
  <x:si>
    <x:t xml:space="preserve">Final wire purchase list</x:t>
  </x:si>
  <x:si>
    <x:t xml:space="preserve">Exact product</x:t>
  </x:si>
  <x:si>
    <x:t xml:space="preserve">Order qty</x:t>
  </x:si>
  <x:si>
    <x:t xml:space="preserve">Unit</x:t>
  </x:si>
  <x:si>
    <x:t xml:space="preserve">Required?</x:t>
  </x:si>
  <x:si>
    <x:t xml:space="preserve">Used for</x:t>
  </x:si>
  <x:si>
    <x:t xml:space="preserve">Online shop link</x:t>
  </x:si>
  <x:si>
    <x:t xml:space="preserve">Important limitation</x:t>
  </x:si>
  <x:si>
    <x:t xml:space="preserve">22AWG 2-core red/black stranded silicone cable</x:t>
  </x:si>
  <x:si>
    <x:t xml:space="preserve">1m lengths</x:t>
  </x:si>
  <x:si>
    <x:t xml:space="preserve">Mandatory</x:t>
  </x:si>
  <x:si>
    <x:t xml:space="preserve">Battery shields, switches, ESP32 power, 5V/GND rails and speaker pair</x:t>
  </x:si>
  <x:si>
    <x:t xml:space="preserve">Not for GPIO signal routing; do not solder directly to cells</x:t>
  </x:si>
  <x:si>
    <x:t xml:space="preserve">10-colour multistrand ribbon cable</x:t>
  </x:si>
  <x:si>
    <x:t xml:space="preserve">Mandatory*</x:t>
  </x:si>
  <x:si>
    <x:t xml:space="preserve">PIR, reed, buttons, OLED, buzzer control and perfboard signal links</x:t>
  </x:si>
  <x:si>
    <x:t xml:space="preserve">*May be omitted only when enough existing Dupont leads will be cut and soldered for signals</x:t>
  </x:si>
  <x:si>
    <x:t xml:space="preserve">Connection-by-connection wire map</x:t>
  </x:si>
  <x:si>
    <x:t xml:space="preserve">Component/path</x:t>
  </x:si>
  <x:si>
    <x:t xml:space="preserve">From</x:t>
  </x:si>
  <x:si>
    <x:t xml:space="preserve">To</x:t>
  </x:si>
  <x:si>
    <x:t xml:space="preserve">Conductors</x:t>
  </x:si>
  <x:si>
    <x:t xml:space="preserve">Wire to use</x:t>
  </x:si>
  <x:si>
    <x:t xml:space="preserve">Colour assignment</x:t>
  </x:si>
  <x:si>
    <x:t xml:space="preserve">Perfboard connection</x:t>
  </x:si>
  <x:si>
    <x:t xml:space="preserve">Safety/design note</x:t>
  </x:si>
  <x:si>
    <x:t xml:space="preserve">Hub power</x:t>
  </x:si>
  <x:si>
    <x:t xml:space="preserve">Dual-18650 shield 5V/GND</x:t>
  </x:si>
  <x:si>
    <x:t xml:space="preserve">Hub switch then ESP32 VIN/5V and GND</x:t>
  </x:si>
  <x:si>
    <x:t xml:space="preserve">22AWG 2-core</x:t>
  </x:si>
  <x:si>
    <x:t xml:space="preserve">Red=5V; black=GND</x:t>
  </x:si>
  <x:si>
    <x:t xml:space="preserve">Solder stripped/tinned ends to power-rail pads</x:t>
  </x:si>
  <x:si>
    <x:t xml:space="preserve">Confirm regulated 5V before inserting ESP32</x:t>
  </x:si>
  <x:si>
    <x:t xml:space="preserve">Node power ×4</x:t>
  </x:si>
  <x:si>
    <x:t xml:space="preserve">Single-cell shield 5V/GND</x:t>
  </x:si>
  <x:si>
    <x:t xml:space="preserve">Node switch then ESP32-C3 5V/VBUS and GND</x:t>
  </x:si>
  <x:si>
    <x:t xml:space="preserve">Solder to local 5V/GND rail</x:t>
  </x:si>
  <x:si>
    <x:t xml:space="preserve">Never feed 5V into a GPIO or 3V3 pin</x:t>
  </x:si>
  <x:si>
    <x:t xml:space="preserve">PIR ×5</x:t>
  </x:si>
  <x:si>
    <x:t xml:space="preserve">ESP32 3V3/GND/GPIO</x:t>
  </x:si>
  <x:si>
    <x:t xml:space="preserve">AM312 VCC/GND/OUT</x:t>
  </x:si>
  <x:si>
    <x:t xml:space="preserve">Ribbon strands</x:t>
  </x:si>
  <x:si>
    <x:t xml:space="preserve">Orange=3V3; black=GND; yellow=OUT</x:t>
  </x:si>
  <x:si>
    <x:t xml:space="preserve">Solder or terminate at a 3-pin connector</x:t>
  </x:si>
  <x:si>
    <x:t xml:space="preserve">Lens faces room; keep lead short and away from antenna</x:t>
  </x:si>
  <x:si>
    <x:t xml:space="preserve">Door reed</x:t>
  </x:si>
  <x:si>
    <x:t xml:space="preserve">ESP32 GPIO/GND</x:t>
  </x:si>
  <x:si>
    <x:t xml:space="preserve">MC-38 two leads</x:t>
  </x:si>
  <x:si>
    <x:t xml:space="preserve">Blue=GPIO; black=GND</x:t>
  </x:si>
  <x:si>
    <x:t xml:space="preserve">Solder or use a keyed 2-pin connector</x:t>
  </x:si>
  <x:si>
    <x:t xml:space="preserve">Use internal pull-up; cable break must be distinguishable in later design</x:t>
  </x:si>
  <x:si>
    <x:t xml:space="preserve">OK button(s)</x:t>
  </x:si>
  <x:si>
    <x:t xml:space="preserve">Normally-open button terminals</x:t>
  </x:si>
  <x:si>
    <x:t xml:space="preserve">Green=GPIO; black=GND</x:t>
  </x:si>
  <x:si>
    <x:t xml:space="preserve">Use internal pull-up and firmware debounce</x:t>
  </x:si>
  <x:si>
    <x:t xml:space="preserve">OLED</x:t>
  </x:si>
  <x:si>
    <x:t xml:space="preserve">Hub 3V3/GND/SDA/SCL</x:t>
  </x:si>
  <x:si>
    <x:t xml:space="preserve">SSD1306 pins</x:t>
  </x:si>
  <x:si>
    <x:t xml:space="preserve">Orange=3V3; black=GND; white=SDA; grey=SCL</x:t>
  </x:si>
  <x:si>
    <x:t xml:space="preserve">Solder to header/connector pads</x:t>
  </x:si>
  <x:si>
    <x:t xml:space="preserve">Use only 3.3V-safe I2C wiring</x:t>
  </x:si>
  <x:si>
    <x:t xml:space="preserve">Buzzer driver</x:t>
  </x:si>
  <x:si>
    <x:t xml:space="preserve">ESP32 GPIO and supply</x:t>
  </x:si>
  <x:si>
    <x:t xml:space="preserve">Base resistor/transistor/buzzer</x:t>
  </x:si>
  <x:si>
    <x:t xml:space="preserve">Ribbon for GPIO; 22AWG only if sharing main supply rail</x:t>
  </x:si>
  <x:si>
    <x:t xml:space="preserve">Violet=GPIO; red/orange=supply; black=GND</x:t>
  </x:si>
  <x:si>
    <x:t xml:space="preserve">Wire GPIO through the base resistor; use common GND</x:t>
  </x:si>
  <x:si>
    <x:t xml:space="preserve">Do not drive an unknown buzzer directly from GPIO</x:t>
  </x:si>
  <x:si>
    <x:t xml:space="preserve">Speaker/P1</x:t>
  </x:si>
  <x:si>
    <x:t xml:space="preserve">MAX98357A output</x:t>
  </x:si>
  <x:si>
    <x:t xml:space="preserve">8-ohm speaker</x:t>
  </x:si>
  <x:si>
    <x:t xml:space="preserve">Mark as SPK+ and SPK−</x:t>
  </x:si>
  <x:si>
    <x:t xml:space="preserve">Solder directly or use locking 2-pin connector</x:t>
  </x:si>
  <x:si>
    <x:t xml:space="preserve">Speaker output is not ground-referenced; do not connect either lead to GND</x:t>
  </x:si>
  <x:si>
    <x:t xml:space="preserve">Perfboard links</x:t>
  </x:si>
  <x:si>
    <x:t xml:space="preserve">One component/header pad</x:t>
  </x:si>
  <x:si>
    <x:t xml:space="preserve">Required destination pad</x:t>
  </x:si>
  <x:si>
    <x:t xml:space="preserve">Individual ribbon strand</x:t>
  </x:si>
  <x:si>
    <x:t xml:space="preserve">Follow the assignments above</x:t>
  </x:si>
  <x:si>
    <x:t xml:space="preserve">Strip 3–4mm, twist, lightly tin, insert, solder and trim</x:t>
  </x:si>
  <x:si>
    <x:t xml:space="preserve">Each pad is isolated unless the selected board explicitly has copper strips</x:t>
  </x:si>
  <x:si>
    <x:t xml:space="preserve">Perfboard assembly sequence</x:t>
  </x:si>
  <x:si>
    <x:t xml:space="preserve">Dupont jumper-wire policy</x:t>
  </x:si>
  <x:si>
    <x:t xml:space="preserve">Step</x:t>
  </x:si>
  <x:si>
    <x:t xml:space="preserve">Action</x:t>
  </x:si>
  <x:si>
    <x:t xml:space="preserve">Scenario</x:t>
  </x:si>
  <x:si>
    <x:t xml:space="preserve">Allowed?</x:t>
  </x:si>
  <x:si>
    <x:t xml:space="preserve">Treatment</x:t>
  </x:si>
  <x:si>
    <x:t xml:space="preserve">Reason</x:t>
  </x:si>
  <x:si>
    <x:t xml:space="preserve">Final rule</x:t>
  </x:si>
  <x:si>
    <x:t xml:space="preserve">Draw the circuit and label every ESP32 pin before soldering.</x:t>
  </x:si>
  <x:si>
    <x:t xml:space="preserve">Breadboard testing</x:t>
  </x:si>
  <x:si>
    <x:t xml:space="preserve">Yes</x:t>
  </x:si>
  <x:si>
    <x:t xml:space="preserve">Use plug-in jumper leads</x:t>
  </x:si>
  <x:si>
    <x:t xml:space="preserve">Fast and reversible</x:t>
  </x:si>
  <x:si>
    <x:t xml:space="preserve">Preferred during bench bring-up</x:t>
  </x:si>
  <x:si>
    <x:t xml:space="preserve">Place female headers, resistors, transistor and connectors on the component side; solder their pins on the copper side.</x:t>
  </x:si>
  <x:si>
    <x:t xml:space="preserve">Soldered GPIO/sensor signal</x:t>
  </x:si>
  <x:si>
    <x:t xml:space="preserve">Cut connector, strip, tin and solder</x:t>
  </x:si>
  <x:si>
    <x:t xml:space="preserve">Typical Dupont lead is adequate for low-current signals</x:t>
  </x:si>
  <x:si>
    <x:t xml:space="preserve">Add strain relief</x:t>
  </x:si>
  <x:si>
    <x:t xml:space="preserve">Create short 5V and GND rails using 22AWG red/black wire. Create a clearly separate 3V3 sensor rail using an orange ribbon strand.</x:t>
  </x:si>
  <x:si>
    <x:t xml:space="preserve">Loose Dupont plug in installed unit</x:t>
  </x:si>
  <x:si>
    <x:t xml:space="preserve">No</x:t>
  </x:si>
  <x:si>
    <x:t xml:space="preserve">Replace with soldered or locking connector</x:t>
  </x:si>
  <x:si>
    <x:t xml:space="preserve">Can loosen or be connected incorrectly</x:t>
  </x:si>
  <x:si>
    <x:t xml:space="preserve">No exposed loose connections</x:t>
  </x:si>
  <x:si>
    <x:t xml:space="preserve">Connect component and GPIO pads using individual ribbon strands. Avoid long bare solder bridges.</x:t>
  </x:si>
  <x:si>
    <x:t xml:space="preserve">Battery, shared power rail or speaker</x:t>
  </x:si>
  <x:si>
    <x:t xml:space="preserve">Use 22AWG two-core cable</x:t>
  </x:si>
  <x:si>
    <x:t xml:space="preserve">Unknown thin lead and crimp may overheat or drop voltage</x:t>
  </x:si>
  <x:si>
    <x:t xml:space="preserve">22AWG is mandatory</x:t>
  </x:si>
  <x:si>
    <x:t xml:space="preserve">For each stranded wire: strip 3–4mm, twist, lightly tin, insert through the pad, solder and trim.</x:t>
  </x:si>
  <x:si>
    <x:t xml:space="preserve">Provide strain relief for wires leaving the board; use JST connectors where a sensor, battery module or enclosure part must be removable.</x:t>
  </x:si>
  <x:si>
    <x:t xml:space="preserve">Critical: ESP32 GPIO pins are 3.3V-only. Never route 5V to a GPIO or the 3V3 pin. Never solder directly to an 18650 cell; use the selected holder/shield and verify polarity with the multimeter.</x:t>
  </x:si>
  <x:si>
    <x:t xml:space="preserve">With batteries removed, test continuity and confirm no short between 5V, 3V3 and GND. Then power without the ESP32 and measure both rails before plugging it in.</x:t>
  </x:si>
</x:sst>
</file>

<file path=xl/styles.xml><?xml version="1.0" encoding="utf-8"?>
<x:styleSheet xmlns:x="http://schemas.openxmlformats.org/spreadsheetml/2006/main">
  <x:numFmts count="1">
    <x:numFmt numFmtId="164" formatCode="\₹#,##0"/>
  </x:numFmts>
  <x:fonts count="19">
    <x:font>
      <x:sz val="11"/>
      <x:name val="Carlito"/>
    </x:font>
    <x:font>
      <x:b/>
      <x:sz val="18"/>
      <x:color rgb="FFFFFFFF"/>
      <x:name val="Carlito"/>
    </x:font>
    <x:font>
      <x:i/>
      <x:sz val="11"/>
      <x:color rgb="FF17324D"/>
      <x:name val="Carlito"/>
    </x:font>
    <x:font>
      <x:b/>
      <x:sz val="11"/>
      <x:color rgb="FF7A4E00"/>
      <x:name val="Carlito"/>
    </x:font>
    <x:font>
      <x:i/>
      <x:sz val="11"/>
      <x:color rgb="FF667085"/>
      <x:name val="Carlito"/>
    </x:font>
    <x:font>
      <x:b/>
      <x:sz val="20"/>
      <x:color rgb="FFFFFFFF"/>
      <x:name val="Carlito"/>
    </x:font>
    <x:font>
      <x:b/>
      <x:sz val="11"/>
      <x:color rgb="FF0F766E"/>
      <x:name val="Carlito"/>
    </x:font>
    <x:font>
      <x:b/>
      <x:sz val="20"/>
      <x:color rgb="FF17324D"/>
      <x:name val="Carlito"/>
    </x:font>
    <x:font>
      <x:b/>
      <x:sz val="13"/>
      <x:color rgb="FFFFFFFF"/>
      <x:name val="Carlito"/>
    </x:font>
    <x:font>
      <x:b/>
      <x:sz val="11"/>
      <x:color rgb="FF2563EB"/>
      <x:name val="Carlito"/>
    </x:font>
    <x:font>
      <x:b/>
      <x:sz val="11"/>
      <x:color rgb="FF8B1E1E"/>
      <x:name val="Carlito"/>
    </x:font>
    <x:font>
      <x:b/>
      <x:sz val="12"/>
      <x:color rgb="FFFFFFFF"/>
      <x:name val="Carlito"/>
    </x:font>
    <x:font>
      <x:b/>
      <x:sz val="10"/>
      <x:color rgb="FFFFFFFF"/>
      <x:name val="Carlito"/>
    </x:font>
    <x:font>
      <x:sz val="10"/>
      <x:name val="Carlito"/>
    </x:font>
    <x:font>
      <x:i/>
      <x:sz val="10"/>
      <x:color rgb="FF17324D"/>
      <x:name val="Carlito"/>
    </x:font>
    <x:font>
      <x:b/>
      <x:sz val="10"/>
      <x:color rgb="FF1665C0"/>
      <x:name val="Carlito"/>
    </x:font>
    <x:font>
      <x:b/>
      <x:sz val="10"/>
      <x:color rgb="FFA02020"/>
      <x:name val="Carlito"/>
    </x:font>
    <x:font>
      <x:sz val="11"/>
      <x:name val="Calibri"/>
    </x:font>
    <x:font>
      <x:b/>
      <x:sz val="11"/>
      <x:color rgb="FFFFFFFF"/>
      <x:name val="Calibri"/>
    </x:font>
  </x:fonts>
  <x:fills count="16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AF2F8"/>
      </x:patternFill>
    </x:fill>
    <x:fill>
      <x:patternFill patternType="solid">
        <x:fgColor rgb="FFFFF4D6"/>
      </x:patternFill>
    </x:fill>
    <x:fill>
      <x:patternFill patternType="solid">
        <x:fgColor rgb="FFF4F6F8"/>
      </x:patternFill>
    </x:fill>
    <x:fill>
      <x:patternFill patternType="solid">
        <x:fgColor rgb="FF0F766E"/>
      </x:patternFill>
    </x:fill>
    <x:fill>
      <x:patternFill patternType="solid">
        <x:fgColor rgb="FFE8F5EE"/>
      </x:patternFill>
    </x:fill>
    <x:fill>
      <x:patternFill patternType="solid">
        <x:fgColor rgb="FFFFFFFF"/>
      </x:patternFill>
    </x:fill>
    <x:fill>
      <x:patternFill patternType="solid">
        <x:fgColor rgb="FFFDECEC"/>
      </x:patternFill>
    </x:fill>
    <x:fill>
      <x:patternFill patternType="solid">
        <x:fgColor rgb="FF17324D"/>
      </x:patternFill>
    </x:fill>
    <x:fill>
      <x:patternFill patternType="solid">
        <x:fgColor rgb="FFEAF2F8"/>
      </x:patternFill>
    </x:fill>
    <x:fill>
      <x:patternFill patternType="solid">
        <x:fgColor rgb="FF117F75"/>
      </x:patternFill>
    </x:fill>
    <x:fill>
      <x:patternFill patternType="solid">
        <x:fgColor rgb="FF0B6073"/>
      </x:patternFill>
    </x:fill>
    <x:fill>
      <x:patternFill patternType="solid">
        <x:fgColor rgb="FFFDECEC"/>
      </x:patternFill>
    </x:fill>
    <x:fill>
      <x:patternFill patternType="solid">
        <x:fgColor rgb="FF233D52"/>
      </x:patternFill>
    </x:fill>
  </x:fills>
  <x:borders count="28">
    <x:border/>
    <x:border>
      <x:left style="thin">
        <x:color rgb="FFD7DEE5"/>
      </x:left>
      <x:top style="thin">
        <x:color rgb="FFD7DEE5"/>
      </x:top>
    </x:border>
    <x:border>
      <x:right style="thin">
        <x:color rgb="FFD7DEE5"/>
      </x:right>
      <x:top style="thin">
        <x:color rgb="FFD7DEE5"/>
      </x:top>
    </x:border>
    <x:border>
      <x:left style="thin">
        <x:color rgb="FFD7DEE5"/>
      </x:left>
    </x:border>
    <x:border>
      <x:right style="thin">
        <x:color rgb="FFD7DEE5"/>
      </x:right>
    </x:border>
    <x:border>
      <x:left style="thin">
        <x:color rgb="FFD7DEE5"/>
      </x:left>
      <x:bottom style="thin">
        <x:color rgb="FFD7DEE5"/>
      </x:bottom>
    </x:border>
    <x:border>
      <x:right style="thin">
        <x:color rgb="FFD7DEE5"/>
      </x:right>
      <x:bottom style="thin">
        <x:color rgb="FFD7DEE5"/>
      </x:bottom>
    </x:border>
    <x:border>
      <x:left style="thin">
        <x:color rgb="FFD7DEE5"/>
      </x:left>
      <x:right style="thin">
        <x:color rgb="FFD7DEE5"/>
      </x:right>
      <x:bottom style="thin">
        <x:color rgb="FFD7DEE5"/>
      </x:bottom>
    </x:border>
    <x:border>
      <x:right style="thin">
        <x:color rgb="FFD7DEE5"/>
      </x:right>
      <x:top style="thin">
        <x:color rgb="FFD7DEE5"/>
      </x:top>
      <x:bottom style="thin">
        <x:color rgb="FFD7DEE5"/>
      </x:bottom>
    </x:border>
    <x:border>
      <x:left style="thin">
        <x:color rgb="FFD7DEE5"/>
      </x:left>
      <x:right style="thin">
        <x:color rgb="FFD7DEE5"/>
      </x:right>
      <x:top style="thin">
        <x:color rgb="FFD7DEE5"/>
      </x:top>
      <x:bottom style="thin">
        <x:color rgb="FFD7DEE5"/>
      </x:bottom>
    </x:border>
    <x:border>
      <x:left style="thin">
        <x:color rgb="FFD7DEE5"/>
      </x:left>
      <x:top style="thin">
        <x:color rgb="FFD7DEE5"/>
      </x:top>
      <x:bottom style="thin">
        <x:color rgb="FFD7DEE5"/>
      </x:bottom>
    </x:border>
    <x:border>
      <x:left style="thin">
        <x:color rgb="FFD7DEE5"/>
      </x:left>
      <x:right style="thin">
        <x:color rgb="FFD7DEE5"/>
      </x:right>
      <x:top style="thin">
        <x:color rgb="FFD7DEE5"/>
      </x:top>
    </x:border>
    <x:border>
      <x:left style="medium">
        <x:color rgb="FFD9534F"/>
      </x:left>
      <x:top style="medium">
        <x:color rgb="FFD9534F"/>
      </x:top>
    </x:border>
    <x:border>
      <x:top style="medium">
        <x:color rgb="FFD9534F"/>
      </x:top>
    </x:border>
    <x:border>
      <x:right style="medium">
        <x:color rgb="FFD9534F"/>
      </x:right>
      <x:top style="medium">
        <x:color rgb="FFD9534F"/>
      </x:top>
    </x:border>
    <x:border>
      <x:left style="medium">
        <x:color rgb="FFD9534F"/>
      </x:left>
    </x:border>
    <x:border>
      <x:right style="medium">
        <x:color rgb="FFD9534F"/>
      </x:right>
    </x:border>
    <x:border>
      <x:left style="medium">
        <x:color rgb="FFD9534F"/>
      </x:left>
      <x:bottom style="medium">
        <x:color rgb="FFD9534F"/>
      </x:bottom>
    </x:border>
    <x:border>
      <x:bottom style="medium">
        <x:color rgb="FFD9534F"/>
      </x:bottom>
    </x:border>
    <x:border>
      <x:right style="medium">
        <x:color rgb="FFD9534F"/>
      </x:right>
      <x:bottom style="medium">
        <x:color rgb="FFD9534F"/>
      </x:bottom>
    </x:border>
    <x:border>
      <x:bottom style="thin">
        <x:color rgb="FFD7E2EA"/>
      </x:bottom>
    </x:border>
    <x:border>
      <x:top style="thin">
        <x:color rgb="FFD7E2EA"/>
      </x:top>
      <x:bottom style="thin">
        <x:color rgb="FFD7E2EA"/>
      </x:bottom>
    </x:border>
    <x:border>
      <x:left style="medium">
        <x:color rgb="FFD9534F"/>
      </x:left>
      <x:top style="thin">
        <x:color rgb="FFD7E2EA"/>
      </x:top>
      <x:bottom style="thin">
        <x:color rgb="FFD7E2EA"/>
      </x:bottom>
    </x:border>
    <x:border>
      <x:right style="medium">
        <x:color rgb="FFD9534F"/>
      </x:right>
      <x:top style="thin">
        <x:color rgb="FFD7E2EA"/>
      </x:top>
      <x:bottom style="thin">
        <x:color rgb="FFD7E2EA"/>
      </x:bottom>
    </x:border>
    <x:border>
      <x:top style="thin">
        <x:color rgb="FFD7E2EA"/>
      </x:top>
    </x:border>
    <x:border>
      <x:left style="medium">
        <x:color rgb="FFD9534F"/>
      </x:left>
      <x:top style="thin">
        <x:color rgb="FFD7E2EA"/>
      </x:top>
      <x:bottom style="medium">
        <x:color rgb="FFD9534F"/>
      </x:bottom>
    </x:border>
    <x:border>
      <x:top style="thin">
        <x:color rgb="FFD7E2EA"/>
      </x:top>
      <x:bottom style="medium">
        <x:color rgb="FFD9534F"/>
      </x:bottom>
    </x:border>
    <x:border>
      <x:right style="medium">
        <x:color rgb="FFD9534F"/>
      </x:right>
      <x:top style="thin">
        <x:color rgb="FFD7E2EA"/>
      </x:top>
      <x:bottom style="medium">
        <x:color rgb="FFD9534F"/>
      </x:bottom>
    </x:border>
  </x:borders>
  <x:cellStyleXfs count="1">
    <x:xf numFmtId="0" fontId="0" fillId="0" borderId="0"/>
  </x:cellStyleXfs>
  <x:cellXfs count="70">
    <x:xf numFmtId="0" fontId="0" fillId="0" borderId="0" xfId="0"/>
    <x:xf numFmtId="0" fontId="0" fillId="0" borderId="0" xfId="0" applyNumberFormat="1" applyFont="1" applyFill="1" applyBorder="1" applyAlignment="1">
      <x:alignment vertical="top"/>
    </x:xf>
    <x:xf numFmtId="1" fontId="0" fillId="0" borderId="0" xfId="0" applyNumberFormat="1" applyFont="1" applyFill="1" applyBorder="1" applyAlignment="1">
      <x:alignment vertical="top"/>
    </x:xf>
    <x:xf numFmtId="164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1" fontId="0" fillId="3" borderId="0" xfId="0" applyNumberFormat="1" applyFont="1" applyFill="1" applyBorder="1" applyAlignment="1">
      <x:alignment vertical="top"/>
    </x:xf>
    <x:xf numFmtId="164" fontId="0" fillId="3" borderId="0" xfId="0" applyNumberFormat="1" applyFont="1" applyFill="1" applyBorder="1" applyAlignment="1">
      <x:alignment vertical="top"/>
    </x:xf>
    <x:xf numFmtId="0" fontId="9" fillId="3" borderId="0" xfId="0" applyNumberFormat="1" applyFont="1" applyFill="1" applyBorder="1" applyAlignment="1">
      <x:alignment horizontal="center" vertical="center"/>
    </x:xf>
    <x:xf numFmtId="0" fontId="3" fillId="4" borderId="0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vertical="center"/>
    </x:xf>
    <x:xf numFmtId="0" fontId="13" fillId="0" borderId="21" xfId="0" applyNumberFormat="1" applyFont="1" applyFill="1" applyBorder="1" applyAlignment="1">
      <x:alignment vertical="top"/>
    </x:xf>
    <x:xf numFmtId="0" fontId="13" fillId="0" borderId="21" xfId="0" applyNumberFormat="1" applyFont="1" applyFill="1" applyBorder="1" applyAlignment="1">
      <x:alignment vertical="top" wrapText="1"/>
    </x:xf>
    <x:xf numFmtId="0" fontId="13" fillId="0" borderId="24" xfId="0" applyNumberFormat="1" applyFont="1" applyFill="1" applyBorder="1" applyAlignment="1">
      <x:alignment vertical="top" wrapText="1"/>
    </x:xf>
    <x:xf numFmtId="0" fontId="13" fillId="0" borderId="24" xfId="0" applyNumberFormat="1" applyFont="1" applyFill="1" applyBorder="1" applyAlignment="1">
      <x:alignment vertical="top"/>
    </x:xf>
    <x:xf numFmtId="0" fontId="12" fillId="13" borderId="21" xfId="0" applyNumberFormat="1" applyFont="1" applyFill="1" applyBorder="1" applyAlignment="1">
      <x:alignment vertical="top" wrapText="1"/>
    </x:xf>
    <x:xf numFmtId="0" fontId="12" fillId="13" borderId="21" xfId="0" applyNumberFormat="1" applyFont="1" applyFill="1" applyBorder="1" applyAlignment="1">
      <x:alignment vertical="top"/>
    </x:xf>
    <x:xf numFmtId="0" fontId="15" fillId="11" borderId="21" xfId="0" applyNumberFormat="1" applyFont="1" applyFill="1" applyBorder="1" applyAlignment="1">
      <x:alignment horizontal="center" vertical="top"/>
    </x:xf>
    <x:xf numFmtId="0" fontId="15" fillId="11" borderId="24" xfId="0" applyNumberFormat="1" applyFont="1" applyFill="1" applyBorder="1" applyAlignment="1">
      <x:alignment horizontal="center" vertical="top"/>
    </x:xf>
    <x:xf numFmtId="0" fontId="0" fillId="0" borderId="0" xfId="0" applyNumberFormat="1" applyFont="1" applyFill="1" applyBorder="1" applyAlignment="1">
      <x:alignment vertical="center" wrapText="1"/>
    </x:xf>
    <x:xf numFmtId="0" fontId="10" fillId="9" borderId="12" xfId="0" applyNumberFormat="1" applyFont="1" applyFill="1" applyBorder="1" applyAlignment="1">
      <x:alignment vertical="center" wrapText="1"/>
    </x:xf>
    <x:xf numFmtId="0" fontId="10" fillId="9" borderId="13" xfId="0" applyNumberFormat="1" applyFont="1" applyFill="1" applyBorder="1" applyAlignment="1">
      <x:alignment vertical="center" wrapText="1"/>
    </x:xf>
    <x:xf numFmtId="0" fontId="10" fillId="9" borderId="14" xfId="0" applyNumberFormat="1" applyFont="1" applyFill="1" applyBorder="1" applyAlignment="1">
      <x:alignment vertical="center" wrapText="1"/>
    </x:xf>
    <x:xf numFmtId="0" fontId="10" fillId="9" borderId="15" xfId="0" applyNumberFormat="1" applyFont="1" applyFill="1" applyBorder="1" applyAlignment="1">
      <x:alignment vertical="center" wrapText="1"/>
    </x:xf>
    <x:xf numFmtId="0" fontId="10" fillId="9" borderId="0" xfId="0" applyNumberFormat="1" applyFont="1" applyFill="1" applyBorder="1" applyAlignment="1">
      <x:alignment vertical="center" wrapText="1"/>
    </x:xf>
    <x:xf numFmtId="0" fontId="10" fillId="9" borderId="16" xfId="0" applyNumberFormat="1" applyFont="1" applyFill="1" applyBorder="1" applyAlignment="1">
      <x:alignment vertical="center" wrapText="1"/>
    </x:xf>
    <x:xf numFmtId="0" fontId="10" fillId="9" borderId="17" xfId="0" applyNumberFormat="1" applyFont="1" applyFill="1" applyBorder="1" applyAlignment="1">
      <x:alignment vertical="center" wrapText="1"/>
    </x:xf>
    <x:xf numFmtId="0" fontId="10" fillId="9" borderId="18" xfId="0" applyNumberFormat="1" applyFont="1" applyFill="1" applyBorder="1" applyAlignment="1">
      <x:alignment vertical="center" wrapText="1"/>
    </x:xf>
    <x:xf numFmtId="0" fontId="10" fillId="9" borderId="19" xfId="0" applyNumberFormat="1" applyFont="1" applyFill="1" applyBorder="1" applyAlignment="1">
      <x:alignment vertical="center" wrapText="1"/>
    </x:xf>
    <x:xf numFmtId="0" fontId="0" fillId="8" borderId="8" xfId="0" applyNumberFormat="1" applyFont="1" applyFill="1" applyBorder="1" applyAlignment="1">
      <x:alignment vertical="center" wrapText="1"/>
    </x:xf>
    <x:xf numFmtId="0" fontId="0" fillId="8" borderId="9" xfId="0" applyNumberFormat="1" applyFont="1" applyFill="1" applyBorder="1" applyAlignment="1">
      <x:alignment vertical="center" wrapText="1"/>
    </x:xf>
    <x:xf numFmtId="0" fontId="0" fillId="8" borderId="10" xfId="0" applyNumberFormat="1" applyFont="1" applyFill="1" applyBorder="1" applyAlignment="1">
      <x:alignment vertical="center" wrapText="1"/>
    </x:xf>
    <x:xf numFmtId="0" fontId="0" fillId="8" borderId="2" xfId="0" applyNumberFormat="1" applyFont="1" applyFill="1" applyBorder="1" applyAlignment="1">
      <x:alignment vertical="center" wrapText="1"/>
    </x:xf>
    <x:xf numFmtId="0" fontId="0" fillId="8" borderId="11" xfId="0" applyNumberFormat="1" applyFont="1" applyFill="1" applyBorder="1" applyAlignment="1">
      <x:alignment vertical="center" wrapText="1"/>
    </x:xf>
    <x:xf numFmtId="0" fontId="0" fillId="8" borderId="1" xfId="0" applyNumberFormat="1" applyFont="1" applyFill="1" applyBorder="1" applyAlignment="1">
      <x:alignment vertical="center" wrapText="1"/>
    </x:xf>
    <x:xf numFmtId="0" fontId="8" fillId="6" borderId="0" xfId="0" applyNumberFormat="1" applyFont="1" applyFill="1" applyBorder="1" applyAlignment="1">
      <x:alignment vertical="center"/>
    </x:xf>
    <x:xf numFmtId="0" fontId="0" fillId="8" borderId="6" xfId="0" applyNumberFormat="1" applyFont="1" applyFill="1" applyBorder="1" applyAlignment="1">
      <x:alignment vertical="center" wrapText="1"/>
    </x:xf>
    <x:xf numFmtId="0" fontId="0" fillId="8" borderId="7" xfId="0" applyNumberFormat="1" applyFont="1" applyFill="1" applyBorder="1" applyAlignment="1">
      <x:alignment vertical="center" wrapText="1"/>
    </x:xf>
    <x:xf numFmtId="0" fontId="0" fillId="8" borderId="5" xfId="0" applyNumberFormat="1" applyFont="1" applyFill="1" applyBorder="1" applyAlignment="1">
      <x:alignment vertical="center" wrapText="1"/>
    </x:xf>
    <x:xf numFmtId="0" fontId="5" fillId="2" borderId="0" xfId="0" applyNumberFormat="1" applyFont="1" applyFill="1" applyBorder="1" applyAlignment="1">
      <x:alignment horizontal="center" vertic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6" fillId="7" borderId="1" xfId="0" applyNumberFormat="1" applyFont="1" applyFill="1" applyBorder="1" applyAlignment="1">
      <x:alignment horizontal="center" vertical="center"/>
    </x:xf>
    <x:xf numFmtId="0" fontId="6" fillId="7" borderId="2" xfId="0" applyNumberFormat="1" applyFont="1" applyFill="1" applyBorder="1" applyAlignment="1">
      <x:alignment horizontal="center" vertical="center"/>
    </x:xf>
    <x:xf numFmtId="0" fontId="7" fillId="7" borderId="3" xfId="0" applyNumberFormat="1" applyFont="1" applyFill="1" applyBorder="1" applyAlignment="1">
      <x:alignment horizontal="center" vertical="center"/>
    </x:xf>
    <x:xf numFmtId="0" fontId="7" fillId="7" borderId="4" xfId="0" applyNumberFormat="1" applyFont="1" applyFill="1" applyBorder="1" applyAlignment="1">
      <x:alignment horizontal="center" vertical="center"/>
    </x:xf>
    <x:xf numFmtId="0" fontId="7" fillId="7" borderId="5" xfId="0" applyNumberFormat="1" applyFont="1" applyFill="1" applyBorder="1" applyAlignment="1">
      <x:alignment horizontal="center" vertical="center"/>
    </x:xf>
    <x:xf numFmtId="0" fontId="7" fillId="7" borderId="6" xfId="0" applyNumberFormat="1" applyFont="1" applyFill="1" applyBorder="1" applyAlignment="1">
      <x:alignment horizontal="center" vertical="center"/>
    </x:xf>
    <x:xf numFmtId="164" fontId="7" fillId="7" borderId="3" xfId="0" applyNumberFormat="1" applyFont="1" applyFill="1" applyBorder="1" applyAlignment="1">
      <x:alignment horizontal="center" vertical="center"/>
    </x:xf>
    <x:xf numFmtId="164" fontId="7" fillId="7" borderId="4" xfId="0" applyNumberFormat="1" applyFont="1" applyFill="1" applyBorder="1" applyAlignment="1">
      <x:alignment horizontal="center" vertical="center"/>
    </x:xf>
    <x:xf numFmtId="164" fontId="7" fillId="7" borderId="5" xfId="0" applyNumberFormat="1" applyFont="1" applyFill="1" applyBorder="1" applyAlignment="1">
      <x:alignment horizontal="center" vertical="center"/>
    </x:xf>
    <x:xf numFmtId="164" fontId="7" fillId="7" borderId="6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2" fillId="3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/>
    <x:xf numFmtId="0" fontId="1" fillId="6" borderId="0" xfId="0" applyNumberFormat="1" applyFont="1" applyFill="1" applyBorder="1" applyAlignment="1">
      <x:alignment horizontal="center" vertical="center"/>
    </x:xf>
    <x:xf numFmtId="0" fontId="3" fillId="4" borderId="0" xfId="0" applyNumberFormat="1" applyFont="1" applyFill="1" applyBorder="1" applyAlignment="1">
      <x:alignment vertical="center" wrapText="1"/>
    </x:xf>
    <x:xf numFmtId="0" fontId="16" fillId="14" borderId="22" xfId="0" applyNumberFormat="1" applyFont="1" applyFill="1" applyBorder="1" applyAlignment="1">
      <x:alignment vertical="top" wrapText="1"/>
    </x:xf>
    <x:xf numFmtId="0" fontId="16" fillId="14" borderId="21" xfId="0" applyNumberFormat="1" applyFont="1" applyFill="1" applyBorder="1" applyAlignment="1">
      <x:alignment vertical="top" wrapText="1"/>
    </x:xf>
    <x:xf numFmtId="0" fontId="16" fillId="14" borderId="23" xfId="0" applyNumberFormat="1" applyFont="1" applyFill="1" applyBorder="1" applyAlignment="1">
      <x:alignment vertical="top" wrapText="1"/>
    </x:xf>
    <x:xf numFmtId="0" fontId="16" fillId="14" borderId="25" xfId="0" applyNumberFormat="1" applyFont="1" applyFill="1" applyBorder="1" applyAlignment="1">
      <x:alignment vertical="top" wrapText="1"/>
    </x:xf>
    <x:xf numFmtId="0" fontId="16" fillId="14" borderId="26" xfId="0" applyNumberFormat="1" applyFont="1" applyFill="1" applyBorder="1" applyAlignment="1">
      <x:alignment vertical="top" wrapText="1"/>
    </x:xf>
    <x:xf numFmtId="0" fontId="16" fillId="14" borderId="27" xfId="0" applyNumberFormat="1" applyFont="1" applyFill="1" applyBorder="1" applyAlignment="1">
      <x:alignment vertical="top" wrapText="1"/>
    </x:xf>
    <x:xf numFmtId="0" fontId="1" fillId="10" borderId="20" xfId="0" applyNumberFormat="1" applyFont="1" applyFill="1" applyBorder="1" applyAlignment="1">
      <x:alignment horizontal="center" vertical="top"/>
    </x:xf>
    <x:xf numFmtId="0" fontId="14" fillId="11" borderId="21" xfId="0" applyNumberFormat="1" applyFont="1" applyFill="1" applyBorder="1" applyAlignment="1">
      <x:alignment horizontal="center" vertical="top" wrapText="1"/>
    </x:xf>
    <x:xf numFmtId="0" fontId="11" fillId="12" borderId="21" xfId="0" applyNumberFormat="1" applyFont="1" applyFill="1" applyBorder="1" applyAlignment="1">
      <x:alignment vertical="top"/>
    </x:xf>
    <x:xf numFmtId="0" fontId="17" fillId="0" borderId="0" xfId="0" applyNumberFormat="1" applyFont="1" applyFill="1" applyBorder="1"/>
    <x:xf numFmtId="0" fontId="17" fillId="0" borderId="0" xfId="0" applyNumberFormat="1" applyFont="1" applyFill="1" applyBorder="1" applyAlignment="1">
      <x:alignment wrapText="1"/>
    </x:xf>
    <x:xf numFmtId="0" fontId="17" fillId="0" borderId="0" xfId="0" applyNumberFormat="1" applyFont="1" applyFill="1" applyBorder="1" applyAlignment="1">
      <x:alignment vertical="center" wrapText="1"/>
    </x:xf>
    <x:xf numFmtId="0" fontId="17" fillId="15" borderId="0" xfId="0" applyNumberFormat="1" applyFont="1" applyFill="1" applyBorder="1" applyAlignment="1">
      <x:alignment vertical="center" wrapText="1"/>
    </x:xf>
    <x:xf numFmtId="0" fontId="18" fillId="15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10">
    <x:dxf>
      <x:font>
        <x:color rgb="FF7A4E00"/>
      </x:font>
      <x:fill>
        <x:patternFill>
          <x:bgColor rgb="FFFFF4D6"/>
        </x:patternFill>
      </x:fill>
    </x:dxf>
    <x:dxf>
      <x:font>
        <x:color rgb="FF146C43"/>
      </x:font>
      <x:fill>
        <x:patternFill>
          <x:bgColor rgb="FFE8F5EE"/>
        </x:patternFill>
      </x:fill>
    </x:dxf>
    <x:dxf>
      <x:font>
        <x:b/>
        <x:color rgb="FF7A4E00"/>
      </x:font>
      <x:fill>
        <x:patternFill>
          <x:bgColor rgb="FFFFF4D6"/>
        </x:patternFill>
      </x:fill>
    </x:dxf>
    <x:dxf>
      <x:fill>
        <x:patternFill patternType="solid">
          <x:bgColor rgb="FFC6EFCE"/>
        </x:patternFill>
      </x:fill>
    </x:dxf>
    <x:dxf>
      <x:fill>
        <x:patternFill patternType="solid">
          <x:bgColor rgb="FFDCEAF7"/>
        </x:patternFill>
      </x:fill>
    </x:dxf>
    <x:dxf>
      <x:fill>
        <x:patternFill patternType="solid">
          <x:bgColor rgb="FFDCEAF7"/>
        </x:patternFill>
      </x:fill>
    </x:dxf>
    <x:dxf>
      <x:fill>
        <x:patternFill patternType="solid">
          <x:bgColor rgb="FFE7E6E6"/>
        </x:patternFill>
      </x:fill>
    </x:dxf>
    <x:dxf>
      <x:fill>
        <x:patternFill patternType="solid">
          <x:bgColor rgb="FFE7E6E6"/>
        </x:patternFill>
      </x:fill>
    </x:dxf>
    <x:dxf>
      <x:fill>
        <x:patternFill patternType="solid">
          <x:bgColor rgb="FFFFEB9C"/>
        </x:patternFill>
      </x:fill>
    </x:dxf>
    <x:dxf>
      <x:fill>
        <x:patternFill patternType="solid">
          <x:bgColor rgb="FFFFEB9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dc61f6ee0dd4cd1" /><Relationship Type="http://schemas.openxmlformats.org/officeDocument/2006/relationships/theme" Target="/xl/theme/theme1.xml" Id="Rda25b432daa34f1e" /><Relationship Type="http://schemas.openxmlformats.org/officeDocument/2006/relationships/sharedStrings" Target="/xl/sharedStrings.xml" Id="R9ff3a5d51bf94ebe" /><Relationship Type="http://schemas.openxmlformats.org/officeDocument/2006/relationships/worksheet" Target="/xl/worksheets/sheet1.xml" Id="Rbea4290149bc42c8" /><Relationship Type="http://schemas.openxmlformats.org/officeDocument/2006/relationships/worksheet" Target="/xl/worksheets/sheet2.xml" Id="Rde3871c3877f400a" /><Relationship Type="http://schemas.openxmlformats.org/officeDocument/2006/relationships/worksheet" Target="/xl/worksheets/sheet3.xml" Id="R8cfabf6c4fdc42fe" /><Relationship Type="http://schemas.openxmlformats.org/officeDocument/2006/relationships/worksheet" Target="/xl/worksheets/sheet4.xml" Id="R867d87d9c15a4f3f" /><Relationship Type="http://schemas.openxmlformats.org/officeDocument/2006/relationships/worksheet" Target="/xl/worksheets/sheet5.xml" Id="R9c5f0ca978484f77" /></Relationships>
</file>

<file path=xl/tables/table1.xml><?xml version="1.0" encoding="utf-8"?>
<x:table xmlns:x="http://schemas.openxmlformats.org/spreadsheetml/2006/main" id="1" name="FamilyCheckInBOM" displayName="FamilyCheckInBOM" ref="A7:Q48" totalsRowShown="0">
  <x:autoFilter ref="A7:Q48"/>
  <x:tableColumns count="17">
    <x:tableColumn id="1" name="ID"/>
    <x:tableColumn id="2" name="Device"/>
    <x:tableColumn id="3" name="Category"/>
    <x:tableColumn id="4" name="Component"/>
    <x:tableColumn id="5" name="Prototype selection / purpose"/>
    <x:tableColumn id="6" name="Base Qty_x000a_1 hub + 4 nodes"/>
    <x:tableColumn id="7" name="Gate Qty_x000a_+ dedicated node"/>
    <x:tableColumn id="8" name="Already Have"/>
    <x:tableColumn id="9" name="Buy Base"/>
    <x:tableColumn id="10" name="Buy Gate"/>
    <x:tableColumn id="11" name="Priority"/>
    <x:tableColumn id="12" name="Unit Price ₹"/>
    <x:tableColumn id="13" name="Base Purchase ₹"/>
    <x:tableColumn id="14" name="Price Basis / Stock Note"/>
    <x:tableColumn id="15" name="Purchase / Source URL"/>
    <x:tableColumn id="16" name="Safety and Design Notes"/>
    <x:tableColumn id="17" name="Commercial Map ID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CommercialUpgradeMap" displayName="CommercialUpgradeMap" ref="A6:G32" totalsRowShown="0">
  <x:autoFilter ref="A6:G32"/>
  <x:tableColumns count="7">
    <x:tableColumn id="1" name="Map ID"/>
    <x:tableColumn id="2" name="Prototype component"/>
    <x:tableColumn id="3" name="Commercial alternative"/>
    <x:tableColumn id="4" name="Why it is better"/>
    <x:tableColumn id="5" name="Qualification / exit criterion"/>
    <x:tableColumn id="6" name="Procurement and design note"/>
    <x:tableColumn id="7" name="Manufacturer / reference URL"/>
  </x:tableColumns>
  <x:tableStyleInfo name="TableStyleMedium4" showFirstColumn="0" showLastColumn="0" showRowStripes="1" showColumnStripes="0"/>
</x:table>
</file>

<file path=xl/tables/table3.xml><?xml version="1.0" encoding="utf-8"?>
<x:table xmlns:x="http://schemas.openxmlformats.org/spreadsheetml/2006/main" id="3" name="FinalWirePurchases" displayName="FinalWirePurchases" ref="A6:H8" totalsRowShown="0">
  <x:tableColumns count="8">
    <x:tableColumn id="1" name="ID"/>
    <x:tableColumn id="2" name="Exact product"/>
    <x:tableColumn id="3" name="Order qty"/>
    <x:tableColumn id="4" name="Unit"/>
    <x:tableColumn id="5" name="Required?"/>
    <x:tableColumn id="6" name="Used for"/>
    <x:tableColumn id="7" name="Online shop link"/>
    <x:tableColumn id="8" name="Important limitation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WireConnectionMap" displayName="WireConnectionMap" ref="A12:H21" totalsRowShown="0">
  <x:tableColumns count="8">
    <x:tableColumn id="1" name="Component/path"/>
    <x:tableColumn id="2" name="From"/>
    <x:tableColumn id="3" name="To"/>
    <x:tableColumn id="4" name="Conductors"/>
    <x:tableColumn id="5" name="Wire to use"/>
    <x:tableColumn id="6" name="Colour assignment"/>
    <x:tableColumn id="7" name="Perfboard connection"/>
    <x:tableColumn id="8" name="Safety/design note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Edition2guidanceTable" displayName="Edition2guidanceTable" ref="A1:C12" headerRowCount="1" totalsRowCount="0" totalsRowShown="0">
  <x:tableColumns count="3">
    <x:tableColumn id="1" name="Topic"/>
    <x:tableColumn id="2" name="Current interpretation"/>
    <x:tableColumn id="3" name="Next evidence"/>
  </x:tableColumns>
  <x:tableStyleInfo name="TableStyleLight1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85c0025c76a43c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eaf87106c807425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26d9985ed2c644a9" /><Relationship Type="http://schemas.openxmlformats.org/officeDocument/2006/relationships/table" Target="/xl/tables/table4.xml" Id="Read6e8ffe49844c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0f6502c45c80425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4.25"/>
  <x:cols>
    <x:col min="1" max="8" width="17" customWidth="1"/>
  </x:cols>
  <x:sheetData>
    <x:row r="1" ht="30" customHeight="1">
      <x:c r="A1" s="38" t="s">
        <x:v>0</x:v>
      </x:c>
      <x:c r="B1" s="38"/>
      <x:c r="C1" s="38"/>
      <x:c r="D1" s="38"/>
      <x:c r="E1" s="38"/>
      <x:c r="F1" s="38"/>
      <x:c r="G1" s="38"/>
      <x:c r="H1" s="38"/>
    </x:row>
    <x:row r="2" ht="30" customHeight="1">
      <x:c r="A2" s="38"/>
      <x:c r="B2" s="38"/>
      <x:c r="C2" s="38"/>
      <x:c r="D2" s="38"/>
      <x:c r="E2" s="38"/>
      <x:c r="F2" s="38"/>
      <x:c r="G2" s="38"/>
      <x:c r="H2" s="38"/>
    </x:row>
    <x:row r="3" ht="21.950000762939453" customHeight="1">
      <x:c r="A3" s="39" t="s">
        <x:v>1</x:v>
      </x:c>
      <x:c r="B3" s="39"/>
      <x:c r="C3" s="39"/>
      <x:c r="D3" s="39"/>
      <x:c r="E3" s="39"/>
      <x:c r="F3" s="39"/>
      <x:c r="G3" s="39"/>
      <x:c r="H3" s="39"/>
    </x:row>
    <x:row r="4">
      <x:c r="A4" s="9"/>
      <x:c r="B4" s="9"/>
      <x:c r="C4" s="9"/>
      <x:c r="D4" s="9"/>
      <x:c r="E4" s="9"/>
      <x:c r="F4" s="9"/>
      <x:c r="G4" s="9"/>
      <x:c r="H4" s="9"/>
    </x:row>
    <x:row r="5" ht="26.100000381469727" customHeight="1">
      <x:c r="A5" s="40" t="s">
        <x:v>2</x:v>
      </x:c>
      <x:c r="B5" s="41"/>
      <x:c r="C5" s="40" t="s">
        <x:v>3</x:v>
      </x:c>
      <x:c r="D5" s="41"/>
      <x:c r="E5" s="40" t="s">
        <x:v>4</x:v>
      </x:c>
      <x:c r="F5" s="41"/>
      <x:c r="G5" s="40" t="s">
        <x:v>5</x:v>
      </x:c>
      <x:c r="H5" s="41"/>
    </x:row>
    <x:row r="6" ht="26.100000381469727" customHeight="1">
      <x:c r="A6" s="42">
        <x:v>5</x:v>
      </x:c>
      <x:c r="B6" s="43"/>
      <x:c r="C6" s="42" t="n">
        <x:f>'Purchase BOM'!I23</x:f>
        <x:v>2</x:v>
      </x:c>
      <x:c r="D6" s="43"/>
      <x:c r="E6" s="46" t="n">
        <x:f>SUM('Purchase BOM'!M8:M48)</x:f>
        <x:v>7490</x:v>
      </x:c>
      <x:c r="F6" s="47"/>
      <x:c r="G6" s="42">
        <x:v>6</x:v>
      </x:c>
      <x:c r="H6" s="43"/>
    </x:row>
    <x:row r="7" ht="26.100000381469727" customHeight="1">
      <x:c r="A7" s="44"/>
      <x:c r="B7" s="45"/>
      <x:c r="C7" s="44"/>
      <x:c r="D7" s="45"/>
      <x:c r="E7" s="48"/>
      <x:c r="F7" s="49"/>
      <x:c r="G7" s="44"/>
      <x:c r="H7" s="45"/>
    </x:row>
    <x:row r="8">
      <x:c r="A8" s="9"/>
      <x:c r="B8" s="9"/>
      <x:c r="C8" s="9"/>
      <x:c r="D8" s="9"/>
      <x:c r="E8" s="9"/>
      <x:c r="F8" s="9"/>
      <x:c r="G8" s="9"/>
      <x:c r="H8" s="9"/>
    </x:row>
    <x:row r="9" ht="26.100000381469727" customHeight="1">
      <x:c r="A9" s="34" t="s">
        <x:v>6</x:v>
      </x:c>
      <x:c r="B9" s="34"/>
      <x:c r="C9" s="34"/>
      <x:c r="D9" s="34"/>
      <x:c r="E9" s="34"/>
      <x:c r="F9" s="34"/>
      <x:c r="G9" s="34"/>
      <x:c r="H9" s="34"/>
    </x:row>
    <x:row r="10" ht="38.099998474121094" customHeight="1">
      <x:c r="A10" s="7" t="s">
        <x:v>7</x:v>
      </x:c>
      <x:c r="B10" s="35" t="s">
        <x:v>8</x:v>
      </x:c>
      <x:c r="C10" s="36"/>
      <x:c r="D10" s="36"/>
      <x:c r="E10" s="36"/>
      <x:c r="F10" s="36"/>
      <x:c r="G10" s="36"/>
      <x:c r="H10" s="37"/>
    </x:row>
    <x:row r="11" ht="38.099998474121094" customHeight="1">
      <x:c r="A11" s="7" t="s">
        <x:v>9</x:v>
      </x:c>
      <x:c r="B11" s="28" t="s">
        <x:v>10</x:v>
      </x:c>
      <x:c r="C11" s="29"/>
      <x:c r="D11" s="29"/>
      <x:c r="E11" s="29"/>
      <x:c r="F11" s="29"/>
      <x:c r="G11" s="29"/>
      <x:c r="H11" s="30"/>
    </x:row>
    <x:row r="12" ht="38.099998474121094" customHeight="1">
      <x:c r="A12" s="7" t="s">
        <x:v>11</x:v>
      </x:c>
      <x:c r="B12" s="28" t="s">
        <x:v>12</x:v>
      </x:c>
      <x:c r="C12" s="29"/>
      <x:c r="D12" s="29"/>
      <x:c r="E12" s="29"/>
      <x:c r="F12" s="29"/>
      <x:c r="G12" s="29"/>
      <x:c r="H12" s="30"/>
    </x:row>
    <x:row r="13" ht="38.099998474121094" customHeight="1">
      <x:c r="A13" s="7" t="s">
        <x:v>13</x:v>
      </x:c>
      <x:c r="B13" s="28" t="s">
        <x:v>14</x:v>
      </x:c>
      <x:c r="C13" s="29"/>
      <x:c r="D13" s="29"/>
      <x:c r="E13" s="29"/>
      <x:c r="F13" s="29"/>
      <x:c r="G13" s="29"/>
      <x:c r="H13" s="30"/>
    </x:row>
    <x:row r="14" ht="38.099998474121094" customHeight="1">
      <x:c r="A14" s="7" t="s">
        <x:v>15</x:v>
      </x:c>
      <x:c r="B14" s="28" t="s">
        <x:v>16</x:v>
      </x:c>
      <x:c r="C14" s="29"/>
      <x:c r="D14" s="29"/>
      <x:c r="E14" s="29"/>
      <x:c r="F14" s="29"/>
      <x:c r="G14" s="29"/>
      <x:c r="H14" s="30"/>
    </x:row>
    <x:row r="15" ht="38.099998474121094" customHeight="1">
      <x:c r="A15" s="7" t="s">
        <x:v>17</x:v>
      </x:c>
      <x:c r="B15" s="31" t="s">
        <x:v>18</x:v>
      </x:c>
      <x:c r="C15" s="32"/>
      <x:c r="D15" s="32"/>
      <x:c r="E15" s="32"/>
      <x:c r="F15" s="32"/>
      <x:c r="G15" s="32"/>
      <x:c r="H15" s="33"/>
    </x:row>
    <x:row r="16">
      <x:c r="A16" s="9"/>
      <x:c r="B16" s="9"/>
      <x:c r="C16" s="9"/>
      <x:c r="D16" s="9"/>
      <x:c r="E16" s="9"/>
      <x:c r="F16" s="9"/>
      <x:c r="G16" s="9"/>
      <x:c r="H16" s="9"/>
    </x:row>
    <x:row r="17" ht="26.100000381469727" customHeight="1">
      <x:c r="A17" s="34" t="s">
        <x:v>19</x:v>
      </x:c>
      <x:c r="B17" s="34"/>
      <x:c r="C17" s="34"/>
      <x:c r="D17" s="34"/>
      <x:c r="E17" s="34"/>
      <x:c r="F17" s="34"/>
      <x:c r="G17" s="34"/>
      <x:c r="H17" s="34"/>
    </x:row>
    <x:row r="18" ht="42" customHeight="1">
      <x:c r="A18" s="8" t="s">
        <x:v>20</x:v>
      </x:c>
      <x:c r="B18" s="18" t="s">
        <x:v>21</x:v>
      </x:c>
      <x:c r="C18" s="18"/>
      <x:c r="D18" s="18"/>
      <x:c r="E18" s="18"/>
      <x:c r="F18" s="18"/>
      <x:c r="G18" s="18"/>
      <x:c r="H18" s="18"/>
    </x:row>
    <x:row r="19" ht="42" customHeight="1">
      <x:c r="A19" s="8" t="s">
        <x:v>22</x:v>
      </x:c>
      <x:c r="B19" s="18" t="s">
        <x:v>23</x:v>
      </x:c>
      <x:c r="C19" s="18"/>
      <x:c r="D19" s="18"/>
      <x:c r="E19" s="18"/>
      <x:c r="F19" s="18"/>
      <x:c r="G19" s="18"/>
      <x:c r="H19" s="18"/>
    </x:row>
    <x:row r="20" ht="42" customHeight="1">
      <x:c r="A20" s="8" t="s">
        <x:v>24</x:v>
      </x:c>
      <x:c r="B20" s="18" t="s">
        <x:v>25</x:v>
      </x:c>
      <x:c r="C20" s="18"/>
      <x:c r="D20" s="18"/>
      <x:c r="E20" s="18"/>
      <x:c r="F20" s="18"/>
      <x:c r="G20" s="18"/>
      <x:c r="H20" s="18"/>
    </x:row>
    <x:row r="21" ht="42" customHeight="1">
      <x:c r="A21" s="8" t="s">
        <x:v>26</x:v>
      </x:c>
      <x:c r="B21" s="18" t="s">
        <x:v>27</x:v>
      </x:c>
      <x:c r="C21" s="18"/>
      <x:c r="D21" s="18"/>
      <x:c r="E21" s="18"/>
      <x:c r="F21" s="18"/>
      <x:c r="G21" s="18"/>
      <x:c r="H21" s="18"/>
    </x:row>
    <x:row r="22" ht="42" customHeight="1">
      <x:c r="A22" s="8" t="s">
        <x:v>28</x:v>
      </x:c>
      <x:c r="B22" s="18" t="s">
        <x:v>29</x:v>
      </x:c>
      <x:c r="C22" s="18"/>
      <x:c r="D22" s="18"/>
      <x:c r="E22" s="18"/>
      <x:c r="F22" s="18"/>
      <x:c r="G22" s="18"/>
      <x:c r="H22" s="18"/>
    </x:row>
    <x:row r="23" ht="42" customHeight="1">
      <x:c r="A23" s="8" t="s">
        <x:v>30</x:v>
      </x:c>
      <x:c r="B23" s="18" t="s">
        <x:v>31</x:v>
      </x:c>
      <x:c r="C23" s="18"/>
      <x:c r="D23" s="18"/>
      <x:c r="E23" s="18"/>
      <x:c r="F23" s="18"/>
      <x:c r="G23" s="18"/>
      <x:c r="H23" s="18"/>
    </x:row>
    <x:row r="24">
      <x:c r="A24" s="9"/>
      <x:c r="B24" s="9"/>
      <x:c r="C24" s="9"/>
      <x:c r="D24" s="9"/>
      <x:c r="E24" s="9"/>
      <x:c r="F24" s="9"/>
      <x:c r="G24" s="9"/>
      <x:c r="H24" s="9"/>
    </x:row>
    <x:row r="25" ht="33.95000076293945" customHeight="1">
      <x:c r="A25" s="19" t="s">
        <x:v>32</x:v>
      </x:c>
      <x:c r="B25" s="20"/>
      <x:c r="C25" s="20"/>
      <x:c r="D25" s="20"/>
      <x:c r="E25" s="20"/>
      <x:c r="F25" s="20"/>
      <x:c r="G25" s="20"/>
      <x:c r="H25" s="21"/>
    </x:row>
    <x:row r="26" ht="33.95000076293945" customHeight="1">
      <x:c r="A26" s="22"/>
      <x:c r="B26" s="23"/>
      <x:c r="C26" s="23"/>
      <x:c r="D26" s="23"/>
      <x:c r="E26" s="23"/>
      <x:c r="F26" s="23"/>
      <x:c r="G26" s="23"/>
      <x:c r="H26" s="24"/>
    </x:row>
    <x:row r="27" ht="33.95000076293945" customHeight="1">
      <x:c r="A27" s="25"/>
      <x:c r="B27" s="26"/>
      <x:c r="C27" s="26"/>
      <x:c r="D27" s="26"/>
      <x:c r="E27" s="26"/>
      <x:c r="F27" s="26"/>
      <x:c r="G27" s="26"/>
      <x:c r="H27" s="27"/>
    </x:row>
  </x:sheetData>
  <x:mergeCells>
    <x:mergeCell ref="A1:H2"/>
    <x:mergeCell ref="A3:H3"/>
    <x:mergeCell ref="A5:B5"/>
    <x:mergeCell ref="A6:B7"/>
    <x:mergeCell ref="C5:D5"/>
    <x:mergeCell ref="C6:D7"/>
    <x:mergeCell ref="E5:F5"/>
    <x:mergeCell ref="E6:F7"/>
    <x:mergeCell ref="G5:H5"/>
    <x:mergeCell ref="G6:H7"/>
    <x:mergeCell ref="A9:H9"/>
    <x:mergeCell ref="B10:H10"/>
    <x:mergeCell ref="B11:H11"/>
    <x:mergeCell ref="B12:H12"/>
    <x:mergeCell ref="B13:H13"/>
    <x:mergeCell ref="B14:H14"/>
    <x:mergeCell ref="B15:H15"/>
    <x:mergeCell ref="A17:H17"/>
    <x:mergeCell ref="B18:H18"/>
    <x:mergeCell ref="B19:H19"/>
    <x:mergeCell ref="B20:H20"/>
    <x:mergeCell ref="B21:H21"/>
    <x:mergeCell ref="B22:H22"/>
    <x:mergeCell ref="B23:H23"/>
    <x:mergeCell ref="A25:H27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4.25"/>
  <x:cols>
    <x:col min="1" max="2" width="15" customWidth="1"/>
    <x:col min="3" max="3" width="16" customWidth="1"/>
    <x:col min="4" max="4" width="34" customWidth="1"/>
    <x:col min="5" max="5" width="39" customWidth="1"/>
    <x:col min="6" max="6" width="13" customWidth="1"/>
    <x:col min="7" max="7" width="14" customWidth="1"/>
    <x:col min="8" max="8" width="12" customWidth="1"/>
    <x:col min="9" max="10" width="10" customWidth="1"/>
    <x:col min="11" max="11" width="19" customWidth="1"/>
    <x:col min="12" max="12" width="13" customWidth="1"/>
    <x:col min="13" max="13" width="15" customWidth="1"/>
    <x:col min="14" max="14" width="31" customWidth="1"/>
    <x:col min="15" max="15" width="42" customWidth="1"/>
    <x:col min="16" max="16" width="48" customWidth="1"/>
    <x:col min="17" max="17" width="19" customWidth="1"/>
  </x:cols>
  <x:sheetData>
    <x:row r="1" ht="27.950000762939453" customHeight="1">
      <x:c r="A1" s="50" t="s">
        <x:v>33</x:v>
      </x:c>
      <x:c r="B1" s="50"/>
      <x:c r="C1" s="50"/>
      <x:c r="D1" s="50"/>
      <x:c r="E1" s="50"/>
      <x:c r="F1" s="50"/>
      <x:c r="G1" s="50"/>
      <x:c r="H1" s="50"/>
      <x:c r="I1" s="50"/>
      <x:c r="J1" s="50"/>
      <x:c r="K1" s="50"/>
      <x:c r="L1" s="50"/>
      <x:c r="M1" s="50"/>
      <x:c r="N1" s="50"/>
      <x:c r="O1" s="50"/>
      <x:c r="P1" s="50"/>
      <x:c r="Q1" s="50"/>
    </x:row>
    <x:row r="2" ht="27.950000762939453" customHeight="1">
      <x:c r="A2" s="50"/>
      <x:c r="B2" s="50"/>
      <x:c r="C2" s="50"/>
      <x:c r="D2" s="50"/>
      <x:c r="E2" s="50"/>
      <x:c r="F2" s="50"/>
      <x:c r="G2" s="50"/>
      <x:c r="H2" s="50"/>
      <x:c r="I2" s="50"/>
      <x:c r="J2" s="50"/>
      <x:c r="K2" s="50"/>
      <x:c r="L2" s="50"/>
      <x:c r="M2" s="50"/>
      <x:c r="N2" s="50"/>
      <x:c r="O2" s="50"/>
      <x:c r="P2" s="50"/>
      <x:c r="Q2" s="50"/>
    </x:row>
    <x:row r="3" ht="32.099998474121094" customHeight="1">
      <x:c r="A3" s="51" t="s">
        <x:v>34</x:v>
      </x:c>
      <x:c r="B3" s="51"/>
      <x:c r="C3" s="51"/>
      <x:c r="D3" s="51"/>
      <x:c r="E3" s="51"/>
      <x:c r="F3" s="51"/>
      <x:c r="G3" s="51"/>
      <x:c r="H3" s="51"/>
      <x:c r="I3" s="51"/>
      <x:c r="J3" s="51"/>
      <x:c r="K3" s="51"/>
      <x:c r="L3" s="51"/>
      <x:c r="M3" s="51"/>
      <x:c r="N3" s="51"/>
      <x:c r="O3" s="51"/>
      <x:c r="P3" s="51"/>
      <x:c r="Q3" s="51"/>
    </x:row>
    <x:row r="4" ht="32.099998474121094" customHeight="1">
      <x:c r="A4" s="52" t="s">
        <x:v>35</x:v>
      </x:c>
      <x:c r="B4" s="52"/>
      <x:c r="C4" s="52"/>
      <x:c r="D4" s="52"/>
      <x:c r="E4" s="52"/>
      <x:c r="F4" s="52"/>
      <x:c r="G4" s="52"/>
      <x:c r="H4" s="52"/>
      <x:c r="I4" s="52"/>
      <x:c r="J4" s="52"/>
      <x:c r="K4" s="52"/>
      <x:c r="L4" s="52"/>
      <x:c r="M4" s="52"/>
      <x:c r="N4" s="52"/>
      <x:c r="O4" s="52"/>
      <x:c r="P4" s="52"/>
      <x:c r="Q4" s="52"/>
    </x:row>
    <x:row r="6">
      <x:c r="A6" s="53" t="s">
        <x:v>36</x:v>
      </x:c>
      <x:c r="B6" s="53"/>
      <x:c r="C6" s="53"/>
      <x:c r="D6" s="53"/>
      <x:c r="E6" s="53"/>
      <x:c r="F6" s="53"/>
      <x:c r="G6" s="53"/>
      <x:c r="H6" s="53"/>
      <x:c r="I6" s="53"/>
      <x:c r="J6" s="53"/>
      <x:c r="K6" s="53"/>
      <x:c r="L6" s="53"/>
      <x:c r="M6" s="53"/>
      <x:c r="N6" s="53"/>
      <x:c r="O6" s="53"/>
      <x:c r="P6" s="53"/>
      <x:c r="Q6" s="53"/>
    </x:row>
    <x:row r="7" ht="38.099998474121094" customHeight="1">
      <x:c r="A7" s="1" t="s">
        <x:v>37</x:v>
      </x:c>
      <x:c r="B7" s="1" t="s">
        <x:v>38</x:v>
      </x:c>
      <x:c r="C7" s="1" t="s">
        <x:v>39</x:v>
      </x:c>
      <x:c r="D7" s="1" t="s">
        <x:v>40</x:v>
      </x:c>
      <x:c r="E7" s="1" t="s">
        <x:v>41</x:v>
      </x:c>
      <x:c r="F7" s="1" t="s">
        <x:v>42</x:v>
      </x:c>
      <x:c r="G7" s="1" t="s">
        <x:v>43</x:v>
      </x:c>
      <x:c r="H7" s="1" t="s">
        <x:v>44</x:v>
      </x:c>
      <x:c r="I7" s="1" t="s">
        <x:v>45</x:v>
      </x:c>
      <x:c r="J7" s="1" t="s">
        <x:v>46</x:v>
      </x:c>
      <x:c r="K7" s="1" t="s">
        <x:v>47</x:v>
      </x:c>
      <x:c r="L7" s="1" t="s">
        <x:v>48</x:v>
      </x:c>
      <x:c r="M7" s="1" t="s">
        <x:v>49</x:v>
      </x:c>
      <x:c r="N7" s="1" t="s">
        <x:v>50</x:v>
      </x:c>
      <x:c r="O7" s="1" t="s">
        <x:v>51</x:v>
      </x:c>
      <x:c r="P7" s="1" t="s">
        <x:v>52</x:v>
      </x:c>
      <x:c r="Q7" s="1" t="s">
        <x:v>53</x:v>
      </x:c>
    </x:row>
    <x:row r="8" ht="45.95000076293945" customHeight="1">
      <x:c r="A8" s="1" t="s">
        <x:v>54</x:v>
      </x:c>
      <x:c r="B8" s="1" t="s">
        <x:v>55</x:v>
      </x:c>
      <x:c r="C8" s="1" t="s">
        <x:v>56</x:v>
      </x:c>
      <x:c r="D8" s="4" t="s">
        <x:v>57</x:v>
      </x:c>
      <x:c r="E8" s="4" t="s">
        <x:v>58</x:v>
      </x:c>
      <x:c r="F8" s="2">
        <x:v>1</x:v>
      </x:c>
      <x:c r="G8" s="2">
        <x:v>1</x:v>
      </x:c>
      <x:c r="H8" s="5">
        <x:v>1</x:v>
      </x:c>
      <x:c r="I8" s="2" t="n">
        <x:f t="shared" ref="I8:I48" si="0">MAX(0,F8-H8)</x:f>
        <x:v>0</x:v>
      </x:c>
      <x:c r="J8" s="2" t="n">
        <x:f t="shared" ref="J8:J48" si="1">MAX(0,G8-H8)</x:f>
        <x:v>0</x:v>
      </x:c>
      <x:c r="K8" s="1" t="s">
        <x:v>59</x:v>
      </x:c>
      <x:c r="L8" s="6">
        <x:v>400</x:v>
      </x:c>
      <x:c r="M8" s="3" t="n">
        <x:f t="shared" ref="M8:M48" si="2">I8*L8</x:f>
        <x:v>0</x:v>
      </x:c>
      <x:c r="N8" s="4" t="s">
        <x:v>60</x:v>
      </x:c>
      <x:c r="O8" s="4"/>
      <x:c r="P8" s="4" t="s">
        <x:v>61</x:v>
      </x:c>
      <x:c r="Q8" s="4" t="s">
        <x:v>62</x:v>
      </x:c>
    </x:row>
    <x:row r="9" ht="45.95000076293945" customHeight="1">
      <x:c r="A9" s="1" t="s">
        <x:v>63</x:v>
      </x:c>
      <x:c r="B9" s="1" t="s">
        <x:v>64</x:v>
      </x:c>
      <x:c r="C9" s="1" t="s">
        <x:v>56</x:v>
      </x:c>
      <x:c r="D9" s="4" t="s">
        <x:v>65</x:v>
      </x:c>
      <x:c r="E9" s="4" t="s">
        <x:v>66</x:v>
      </x:c>
      <x:c r="F9" s="2">
        <x:v>4</x:v>
      </x:c>
      <x:c r="G9" s="2">
        <x:v>5</x:v>
      </x:c>
      <x:c r="H9" s="5">
        <x:v>0</x:v>
      </x:c>
      <x:c r="I9" s="2">
        <x:f t="shared" si="0"/>
        <x:v>4</x:v>
      </x:c>
      <x:c r="J9" s="2">
        <x:f t="shared" si="1"/>
        <x:v>5</x:v>
      </x:c>
      <x:c r="K9" s="1" t="s">
        <x:v>59</x:v>
      </x:c>
      <x:c r="L9" s="6">
        <x:v>250</x:v>
      </x:c>
      <x:c r="M9" s="3">
        <x:f t="shared" si="2"/>
        <x:v>1000</x:v>
      </x:c>
      <x:c r="N9" s="4" t="s">
        <x:v>67</x:v>
      </x:c>
      <x:c r="O9" s="4" t="s">
        <x:v>68</x:v>
      </x:c>
      <x:c r="P9" s="4" t="s">
        <x:v>69</x:v>
      </x:c>
      <x:c r="Q9" s="4" t="s">
        <x:v>70</x:v>
      </x:c>
    </x:row>
    <x:row r="10" ht="45.95000076293945" customHeight="1">
      <x:c r="A10" s="1" t="s">
        <x:v>71</x:v>
      </x:c>
      <x:c r="B10" s="1" t="s">
        <x:v>72</x:v>
      </x:c>
      <x:c r="C10" s="1" t="s">
        <x:v>73</x:v>
      </x:c>
      <x:c r="D10" s="4" t="s">
        <x:v>74</x:v>
      </x:c>
      <x:c r="E10" s="4" t="s">
        <x:v>75</x:v>
      </x:c>
      <x:c r="F10" s="2">
        <x:v>5</x:v>
      </x:c>
      <x:c r="G10" s="2">
        <x:v>5</x:v>
      </x:c>
      <x:c r="H10" s="5">
        <x:v>0</x:v>
      </x:c>
      <x:c r="I10" s="2">
        <x:f t="shared" si="0"/>
        <x:v>5</x:v>
      </x:c>
      <x:c r="J10" s="2">
        <x:f t="shared" si="1"/>
        <x:v>5</x:v>
      </x:c>
      <x:c r="K10" s="1" t="s">
        <x:v>59</x:v>
      </x:c>
      <x:c r="L10" s="6">
        <x:v>196</x:v>
      </x:c>
      <x:c r="M10" s="3">
        <x:f t="shared" si="2"/>
        <x:v>980</x:v>
      </x:c>
      <x:c r="N10" s="4" t="s">
        <x:v>76</x:v>
      </x:c>
      <x:c r="O10" s="4" t="s">
        <x:v>77</x:v>
      </x:c>
      <x:c r="P10" s="4" t="s">
        <x:v>78</x:v>
      </x:c>
      <x:c r="Q10" s="4" t="s">
        <x:v>79</x:v>
      </x:c>
    </x:row>
    <x:row r="11" ht="45.95000076293945" customHeight="1">
      <x:c r="A11" s="1" t="s">
        <x:v>80</x:v>
      </x:c>
      <x:c r="B11" s="1" t="s">
        <x:v>81</x:v>
      </x:c>
      <x:c r="C11" s="1" t="s">
        <x:v>73</x:v>
      </x:c>
      <x:c r="D11" s="4" t="s">
        <x:v>82</x:v>
      </x:c>
      <x:c r="E11" s="4" t="s">
        <x:v>83</x:v>
      </x:c>
      <x:c r="F11" s="2">
        <x:v>1</x:v>
      </x:c>
      <x:c r="G11" s="2">
        <x:v>1</x:v>
      </x:c>
      <x:c r="H11" s="5">
        <x:v>0</x:v>
      </x:c>
      <x:c r="I11" s="2">
        <x:f t="shared" si="0"/>
        <x:v>1</x:v>
      </x:c>
      <x:c r="J11" s="2">
        <x:f t="shared" si="1"/>
        <x:v>1</x:v>
      </x:c>
      <x:c r="K11" s="1" t="s">
        <x:v>59</x:v>
      </x:c>
      <x:c r="L11" s="6">
        <x:v>120</x:v>
      </x:c>
      <x:c r="M11" s="3">
        <x:f t="shared" si="2"/>
        <x:v>120</x:v>
      </x:c>
      <x:c r="N11" s="4" t="s">
        <x:v>67</x:v>
      </x:c>
      <x:c r="O11" s="4" t="s">
        <x:v>84</x:v>
      </x:c>
      <x:c r="P11" s="4" t="s">
        <x:v>85</x:v>
      </x:c>
      <x:c r="Q11" s="4" t="s">
        <x:v>86</x:v>
      </x:c>
    </x:row>
    <x:row r="12" ht="45.95000076293945" customHeight="1">
      <x:c r="A12" s="1" t="s">
        <x:v>87</x:v>
      </x:c>
      <x:c r="B12" s="1" t="s">
        <x:v>88</x:v>
      </x:c>
      <x:c r="C12" s="1" t="s">
        <x:v>89</x:v>
      </x:c>
      <x:c r="D12" s="4" t="s">
        <x:v>90</x:v>
      </x:c>
      <x:c r="E12" s="4" t="s">
        <x:v>91</x:v>
      </x:c>
      <x:c r="F12" s="2">
        <x:v>1</x:v>
      </x:c>
      <x:c r="G12" s="2">
        <x:v>1</x:v>
      </x:c>
      <x:c r="H12" s="5">
        <x:v>0</x:v>
      </x:c>
      <x:c r="I12" s="2">
        <x:f t="shared" si="0"/>
        <x:v>1</x:v>
      </x:c>
      <x:c r="J12" s="2">
        <x:f t="shared" si="1"/>
        <x:v>1</x:v>
      </x:c>
      <x:c r="K12" s="1" t="s">
        <x:v>59</x:v>
      </x:c>
      <x:c r="L12" s="6">
        <x:v>250</x:v>
      </x:c>
      <x:c r="M12" s="3">
        <x:f t="shared" si="2"/>
        <x:v>250</x:v>
      </x:c>
      <x:c r="N12" s="4" t="s">
        <x:v>67</x:v>
      </x:c>
      <x:c r="O12" s="4" t="s">
        <x:v>92</x:v>
      </x:c>
      <x:c r="P12" s="4" t="s">
        <x:v>93</x:v>
      </x:c>
      <x:c r="Q12" s="4" t="s">
        <x:v>94</x:v>
      </x:c>
    </x:row>
    <x:row r="13" ht="45.95000076293945" customHeight="1">
      <x:c r="A13" s="1" t="s">
        <x:v>95</x:v>
      </x:c>
      <x:c r="B13" s="1" t="s">
        <x:v>55</x:v>
      </x:c>
      <x:c r="C13" s="1" t="s">
        <x:v>96</x:v>
      </x:c>
      <x:c r="D13" s="4" t="s">
        <x:v>97</x:v>
      </x:c>
      <x:c r="E13" s="4" t="s">
        <x:v>98</x:v>
      </x:c>
      <x:c r="F13" s="2">
        <x:v>1</x:v>
      </x:c>
      <x:c r="G13" s="2">
        <x:v>1</x:v>
      </x:c>
      <x:c r="H13" s="5">
        <x:v>1</x:v>
      </x:c>
      <x:c r="I13" s="2">
        <x:f t="shared" si="0"/>
        <x:v>0</x:v>
      </x:c>
      <x:c r="J13" s="2">
        <x:f t="shared" si="1"/>
        <x:v>0</x:v>
      </x:c>
      <x:c r="K13" s="1" t="s">
        <x:v>59</x:v>
      </x:c>
      <x:c r="L13" s="6">
        <x:v>25</x:v>
      </x:c>
      <x:c r="M13" s="3">
        <x:f t="shared" si="2"/>
        <x:v>0</x:v>
      </x:c>
      <x:c r="N13" s="4" t="s">
        <x:v>99</x:v>
      </x:c>
      <x:c r="O13" s="4"/>
      <x:c r="P13" s="4" t="s">
        <x:v>100</x:v>
      </x:c>
      <x:c r="Q13" s="4" t="s">
        <x:v>101</x:v>
      </x:c>
    </x:row>
    <x:row r="14" ht="45.95000076293945" customHeight="1">
      <x:c r="A14" s="1" t="s">
        <x:v>102</x:v>
      </x:c>
      <x:c r="B14" s="1" t="s">
        <x:v>55</x:v>
      </x:c>
      <x:c r="C14" s="1" t="s">
        <x:v>103</x:v>
      </x:c>
      <x:c r="D14" s="4" t="s">
        <x:v>104</x:v>
      </x:c>
      <x:c r="E14" s="4" t="s">
        <x:v>105</x:v>
      </x:c>
      <x:c r="F14" s="2">
        <x:v>1</x:v>
      </x:c>
      <x:c r="G14" s="2">
        <x:v>1</x:v>
      </x:c>
      <x:c r="H14" s="5">
        <x:v>0</x:v>
      </x:c>
      <x:c r="I14" s="2">
        <x:f t="shared" si="0"/>
        <x:v>1</x:v>
      </x:c>
      <x:c r="J14" s="2">
        <x:f t="shared" si="1"/>
        <x:v>1</x:v>
      </x:c>
      <x:c r="K14" s="1" t="s">
        <x:v>59</x:v>
      </x:c>
      <x:c r="L14" s="6">
        <x:v>50</x:v>
      </x:c>
      <x:c r="M14" s="3">
        <x:f t="shared" si="2"/>
        <x:v>50</x:v>
      </x:c>
      <x:c r="N14" s="4" t="s">
        <x:v>67</x:v>
      </x:c>
      <x:c r="O14" s="4" t="s">
        <x:v>106</x:v>
      </x:c>
      <x:c r="P14" s="4" t="s">
        <x:v>107</x:v>
      </x:c>
      <x:c r="Q14" s="4" t="s">
        <x:v>108</x:v>
      </x:c>
    </x:row>
    <x:row r="15" ht="45.95000076293945" customHeight="1">
      <x:c r="A15" s="1" t="s">
        <x:v>109</x:v>
      </x:c>
      <x:c r="B15" s="1" t="s">
        <x:v>55</x:v>
      </x:c>
      <x:c r="C15" s="1" t="s">
        <x:v>110</x:v>
      </x:c>
      <x:c r="D15" s="4" t="s">
        <x:v>111</x:v>
      </x:c>
      <x:c r="E15" s="4" t="s">
        <x:v>112</x:v>
      </x:c>
      <x:c r="F15" s="2">
        <x:v>1</x:v>
      </x:c>
      <x:c r="G15" s="2">
        <x:v>1</x:v>
      </x:c>
      <x:c r="H15" s="5">
        <x:v>0</x:v>
      </x:c>
      <x:c r="I15" s="2">
        <x:f t="shared" si="0"/>
        <x:v>1</x:v>
      </x:c>
      <x:c r="J15" s="2">
        <x:f t="shared" si="1"/>
        <x:v>1</x:v>
      </x:c>
      <x:c r="K15" s="1" t="s">
        <x:v>59</x:v>
      </x:c>
      <x:c r="L15" s="6">
        <x:v>35</x:v>
      </x:c>
      <x:c r="M15" s="3">
        <x:f t="shared" si="2"/>
        <x:v>35</x:v>
      </x:c>
      <x:c r="N15" s="4" t="s">
        <x:v>113</x:v>
      </x:c>
      <x:c r="O15" s="4"/>
      <x:c r="P15" s="4" t="s">
        <x:v>114</x:v>
      </x:c>
      <x:c r="Q15" s="4" t="s">
        <x:v>115</x:v>
      </x:c>
    </x:row>
    <x:row r="16" ht="45.95000076293945" customHeight="1">
      <x:c r="A16" s="1" t="s">
        <x:v>116</x:v>
      </x:c>
      <x:c r="B16" s="1" t="s">
        <x:v>72</x:v>
      </x:c>
      <x:c r="C16" s="1" t="s">
        <x:v>110</x:v>
      </x:c>
      <x:c r="D16" s="4" t="s">
        <x:v>117</x:v>
      </x:c>
      <x:c r="E16" s="4" t="s">
        <x:v>118</x:v>
      </x:c>
      <x:c r="F16" s="2">
        <x:v>1</x:v>
      </x:c>
      <x:c r="G16" s="2">
        <x:v>1</x:v>
      </x:c>
      <x:c r="H16" s="5">
        <x:v>0</x:v>
      </x:c>
      <x:c r="I16" s="2">
        <x:f t="shared" si="0"/>
        <x:v>1</x:v>
      </x:c>
      <x:c r="J16" s="2">
        <x:f t="shared" si="1"/>
        <x:v>1</x:v>
      </x:c>
      <x:c r="K16" s="1" t="s">
        <x:v>59</x:v>
      </x:c>
      <x:c r="L16" s="6">
        <x:v>35</x:v>
      </x:c>
      <x:c r="M16" s="3">
        <x:f t="shared" si="2"/>
        <x:v>35</x:v>
      </x:c>
      <x:c r="N16" s="4" t="s">
        <x:v>113</x:v>
      </x:c>
      <x:c r="O16" s="4"/>
      <x:c r="P16" s="4" t="s">
        <x:v>119</x:v>
      </x:c>
      <x:c r="Q16" s="4" t="s">
        <x:v>115</x:v>
      </x:c>
    </x:row>
    <x:row r="17" ht="45.95000076293945" customHeight="1">
      <x:c r="A17" s="1" t="s">
        <x:v>120</x:v>
      </x:c>
      <x:c r="B17" s="1" t="s">
        <x:v>55</x:v>
      </x:c>
      <x:c r="C17" s="1" t="s">
        <x:v>121</x:v>
      </x:c>
      <x:c r="D17" s="4" t="s">
        <x:v>122</x:v>
      </x:c>
      <x:c r="E17" s="4" t="s">
        <x:v>123</x:v>
      </x:c>
      <x:c r="F17" s="2">
        <x:v>1</x:v>
      </x:c>
      <x:c r="G17" s="2">
        <x:v>1</x:v>
      </x:c>
      <x:c r="H17" s="5">
        <x:v>0</x:v>
      </x:c>
      <x:c r="I17" s="2">
        <x:f t="shared" si="0"/>
        <x:v>1</x:v>
      </x:c>
      <x:c r="J17" s="2">
        <x:f t="shared" si="1"/>
        <x:v>1</x:v>
      </x:c>
      <x:c r="K17" s="1" t="s">
        <x:v>59</x:v>
      </x:c>
      <x:c r="L17" s="6">
        <x:v>35</x:v>
      </x:c>
      <x:c r="M17" s="3">
        <x:f t="shared" si="2"/>
        <x:v>35</x:v>
      </x:c>
      <x:c r="N17" s="4" t="s">
        <x:v>113</x:v>
      </x:c>
      <x:c r="O17" s="4"/>
      <x:c r="P17" s="4" t="s">
        <x:v>124</x:v>
      </x:c>
      <x:c r="Q17" s="4" t="s">
        <x:v>125</x:v>
      </x:c>
    </x:row>
    <x:row r="18" ht="45.95000076293945" customHeight="1">
      <x:c r="A18" s="1" t="s">
        <x:v>126</x:v>
      </x:c>
      <x:c r="B18" s="1" t="s">
        <x:v>55</x:v>
      </x:c>
      <x:c r="C18" s="1" t="s">
        <x:v>127</x:v>
      </x:c>
      <x:c r="D18" s="4" t="s">
        <x:v>128</x:v>
      </x:c>
      <x:c r="E18" s="4" t="s">
        <x:v>129</x:v>
      </x:c>
      <x:c r="F18" s="2">
        <x:v>1</x:v>
      </x:c>
      <x:c r="G18" s="2">
        <x:v>1</x:v>
      </x:c>
      <x:c r="H18" s="5">
        <x:v>0</x:v>
      </x:c>
      <x:c r="I18" s="2">
        <x:f t="shared" si="0"/>
        <x:v>1</x:v>
      </x:c>
      <x:c r="J18" s="2">
        <x:f t="shared" si="1"/>
        <x:v>1</x:v>
      </x:c>
      <x:c r="K18" s="1" t="s">
        <x:v>59</x:v>
      </x:c>
      <x:c r="L18" s="6">
        <x:v>25</x:v>
      </x:c>
      <x:c r="M18" s="3">
        <x:f t="shared" si="2"/>
        <x:v>25</x:v>
      </x:c>
      <x:c r="N18" s="4" t="s">
        <x:v>113</x:v>
      </x:c>
      <x:c r="O18" s="4"/>
      <x:c r="P18" s="4" t="s">
        <x:v>130</x:v>
      </x:c>
      <x:c r="Q18" s="4" t="s">
        <x:v>131</x:v>
      </x:c>
    </x:row>
    <x:row r="19" ht="45.95000076293945" customHeight="1">
      <x:c r="A19" s="1" t="s">
        <x:v>132</x:v>
      </x:c>
      <x:c r="B19" s="1" t="s">
        <x:v>55</x:v>
      </x:c>
      <x:c r="C19" s="1" t="s">
        <x:v>110</x:v>
      </x:c>
      <x:c r="D19" s="4" t="s">
        <x:v>133</x:v>
      </x:c>
      <x:c r="E19" s="4" t="s">
        <x:v>134</x:v>
      </x:c>
      <x:c r="F19" s="2">
        <x:v>1</x:v>
      </x:c>
      <x:c r="G19" s="2">
        <x:v>1</x:v>
      </x:c>
      <x:c r="H19" s="5">
        <x:v>0</x:v>
      </x:c>
      <x:c r="I19" s="2">
        <x:f t="shared" si="0"/>
        <x:v>1</x:v>
      </x:c>
      <x:c r="J19" s="2">
        <x:f t="shared" si="1"/>
        <x:v>1</x:v>
      </x:c>
      <x:c r="K19" s="1" t="s">
        <x:v>59</x:v>
      </x:c>
      <x:c r="L19" s="6">
        <x:v>35</x:v>
      </x:c>
      <x:c r="M19" s="3">
        <x:f t="shared" si="2"/>
        <x:v>35</x:v>
      </x:c>
      <x:c r="N19" s="4" t="s">
        <x:v>113</x:v>
      </x:c>
      <x:c r="O19" s="4"/>
      <x:c r="P19" s="4" t="s">
        <x:v>135</x:v>
      </x:c>
      <x:c r="Q19" s="4" t="s">
        <x:v>115</x:v>
      </x:c>
    </x:row>
    <x:row r="20" ht="45.95000076293945" customHeight="1">
      <x:c r="A20" s="1" t="s">
        <x:v>136</x:v>
      </x:c>
      <x:c r="B20" s="1" t="s">
        <x:v>55</x:v>
      </x:c>
      <x:c r="C20" s="1" t="s">
        <x:v>137</x:v>
      </x:c>
      <x:c r="D20" s="4" t="s">
        <x:v>138</x:v>
      </x:c>
      <x:c r="E20" s="4" t="s">
        <x:v>139</x:v>
      </x:c>
      <x:c r="F20" s="2">
        <x:v>1</x:v>
      </x:c>
      <x:c r="G20" s="2">
        <x:v>1</x:v>
      </x:c>
      <x:c r="H20" s="5">
        <x:v>1</x:v>
      </x:c>
      <x:c r="I20" s="2">
        <x:f t="shared" si="0"/>
        <x:v>0</x:v>
      </x:c>
      <x:c r="J20" s="2">
        <x:f t="shared" si="1"/>
        <x:v>0</x:v>
      </x:c>
      <x:c r="K20" s="1" t="s">
        <x:v>59</x:v>
      </x:c>
      <x:c r="L20" s="6">
        <x:v>180</x:v>
      </x:c>
      <x:c r="M20" s="3">
        <x:f t="shared" si="2"/>
        <x:v>0</x:v>
      </x:c>
      <x:c r="N20" s="4" t="s">
        <x:v>99</x:v>
      </x:c>
      <x:c r="O20" s="4"/>
      <x:c r="P20" s="4" t="s">
        <x:v>140</x:v>
      </x:c>
      <x:c r="Q20" s="4" t="s">
        <x:v>141</x:v>
      </x:c>
    </x:row>
    <x:row r="21" ht="45.95000076293945" customHeight="1">
      <x:c r="A21" s="1" t="s">
        <x:v>142</x:v>
      </x:c>
      <x:c r="B21" s="1" t="s">
        <x:v>55</x:v>
      </x:c>
      <x:c r="C21" s="1" t="s">
        <x:v>143</x:v>
      </x:c>
      <x:c r="D21" s="4" t="s">
        <x:v>144</x:v>
      </x:c>
      <x:c r="E21" s="4" t="s">
        <x:v>145</x:v>
      </x:c>
      <x:c r="F21" s="2">
        <x:v>1</x:v>
      </x:c>
      <x:c r="G21" s="2">
        <x:v>1</x:v>
      </x:c>
      <x:c r="H21" s="5">
        <x:v>0</x:v>
      </x:c>
      <x:c r="I21" s="2">
        <x:f t="shared" si="0"/>
        <x:v>1</x:v>
      </x:c>
      <x:c r="J21" s="2">
        <x:f t="shared" si="1"/>
        <x:v>1</x:v>
      </x:c>
      <x:c r="K21" s="1" t="s">
        <x:v>59</x:v>
      </x:c>
      <x:c r="L21" s="6">
        <x:v>420</x:v>
      </x:c>
      <x:c r="M21" s="3">
        <x:f t="shared" si="2"/>
        <x:v>420</x:v>
      </x:c>
      <x:c r="N21" s="4" t="s">
        <x:v>146</x:v>
      </x:c>
      <x:c r="O21" s="4" t="s">
        <x:v>147</x:v>
      </x:c>
      <x:c r="P21" s="4" t="s">
        <x:v>148</x:v>
      </x:c>
      <x:c r="Q21" s="4" t="s">
        <x:v>149</x:v>
      </x:c>
    </x:row>
    <x:row r="22" ht="45.95000076293945" customHeight="1">
      <x:c r="A22" s="1" t="s">
        <x:v>150</x:v>
      </x:c>
      <x:c r="B22" s="1" t="s">
        <x:v>64</x:v>
      </x:c>
      <x:c r="C22" s="1" t="s">
        <x:v>143</x:v>
      </x:c>
      <x:c r="D22" s="4" t="s">
        <x:v>151</x:v>
      </x:c>
      <x:c r="E22" s="4" t="s">
        <x:v>152</x:v>
      </x:c>
      <x:c r="F22" s="2">
        <x:v>4</x:v>
      </x:c>
      <x:c r="G22" s="2">
        <x:v>5</x:v>
      </x:c>
      <x:c r="H22" s="5">
        <x:v>0</x:v>
      </x:c>
      <x:c r="I22" s="2">
        <x:f t="shared" si="0"/>
        <x:v>4</x:v>
      </x:c>
      <x:c r="J22" s="2">
        <x:f t="shared" si="1"/>
        <x:v>5</x:v>
      </x:c>
      <x:c r="K22" s="1" t="s">
        <x:v>59</x:v>
      </x:c>
      <x:c r="L22" s="6">
        <x:v>239</x:v>
      </x:c>
      <x:c r="M22" s="3">
        <x:f t="shared" si="2"/>
        <x:v>956</x:v>
      </x:c>
      <x:c r="N22" s="4" t="s">
        <x:v>153</x:v>
      </x:c>
      <x:c r="O22" s="4" t="s">
        <x:v>154</x:v>
      </x:c>
      <x:c r="P22" s="4" t="s">
        <x:v>155</x:v>
      </x:c>
      <x:c r="Q22" s="4" t="s">
        <x:v>156</x:v>
      </x:c>
    </x:row>
    <x:row r="23" ht="45.95000076293945" customHeight="1">
      <x:c r="A23" s="1" t="s">
        <x:v>157</x:v>
      </x:c>
      <x:c r="B23" s="1" t="s">
        <x:v>158</x:v>
      </x:c>
      <x:c r="C23" s="1" t="s">
        <x:v>159</x:v>
      </x:c>
      <x:c r="D23" s="4" t="s">
        <x:v>160</x:v>
      </x:c>
      <x:c r="E23" s="4" t="s">
        <x:v>161</x:v>
      </x:c>
      <x:c r="F23" s="2">
        <x:v>6</x:v>
      </x:c>
      <x:c r="G23" s="2">
        <x:v>7</x:v>
      </x:c>
      <x:c r="H23" s="5">
        <x:v>4</x:v>
      </x:c>
      <x:c r="I23" s="2">
        <x:f t="shared" si="0"/>
        <x:v>2</x:v>
      </x:c>
      <x:c r="J23" s="2">
        <x:f t="shared" si="1"/>
        <x:v>3</x:v>
      </x:c>
      <x:c r="K23" s="1" t="s">
        <x:v>59</x:v>
      </x:c>
      <x:c r="L23" s="6">
        <x:v>260</x:v>
      </x:c>
      <x:c r="M23" s="3">
        <x:f t="shared" si="2"/>
        <x:v>520</x:v>
      </x:c>
      <x:c r="N23" s="4" t="s">
        <x:v>162</x:v>
      </x:c>
      <x:c r="O23" s="4"/>
      <x:c r="P23" s="4" t="s">
        <x:v>163</x:v>
      </x:c>
      <x:c r="Q23" s="4" t="s">
        <x:v>164</x:v>
      </x:c>
    </x:row>
    <x:row r="24" ht="45.95000076293945" customHeight="1">
      <x:c r="A24" s="1" t="s">
        <x:v>165</x:v>
      </x:c>
      <x:c r="B24" s="1" t="s">
        <x:v>55</x:v>
      </x:c>
      <x:c r="C24" s="1" t="s">
        <x:v>166</x:v>
      </x:c>
      <x:c r="D24" s="4" t="s">
        <x:v>167</x:v>
      </x:c>
      <x:c r="E24" s="4" t="s">
        <x:v>168</x:v>
      </x:c>
      <x:c r="F24" s="2">
        <x:v>1</x:v>
      </x:c>
      <x:c r="G24" s="2">
        <x:v>1</x:v>
      </x:c>
      <x:c r="H24" s="5">
        <x:v>1</x:v>
      </x:c>
      <x:c r="I24" s="2">
        <x:f t="shared" si="0"/>
        <x:v>0</x:v>
      </x:c>
      <x:c r="J24" s="2">
        <x:f t="shared" si="1"/>
        <x:v>0</x:v>
      </x:c>
      <x:c r="K24" s="1" t="s">
        <x:v>59</x:v>
      </x:c>
      <x:c r="L24" s="6">
        <x:v>300</x:v>
      </x:c>
      <x:c r="M24" s="3">
        <x:f t="shared" si="2"/>
        <x:v>0</x:v>
      </x:c>
      <x:c r="N24" s="4" t="s">
        <x:v>169</x:v>
      </x:c>
      <x:c r="O24" s="4"/>
      <x:c r="P24" s="4" t="s">
        <x:v>170</x:v>
      </x:c>
      <x:c r="Q24" s="4" t="s">
        <x:v>171</x:v>
      </x:c>
    </x:row>
    <x:row r="25" ht="45.95000076293945" customHeight="1">
      <x:c r="A25" s="1" t="s">
        <x:v>172</x:v>
      </x:c>
      <x:c r="B25" s="1" t="s">
        <x:v>55</x:v>
      </x:c>
      <x:c r="C25" s="1" t="s">
        <x:v>173</x:v>
      </x:c>
      <x:c r="D25" s="4" t="s">
        <x:v>174</x:v>
      </x:c>
      <x:c r="E25" s="4" t="s">
        <x:v>175</x:v>
      </x:c>
      <x:c r="F25" s="2">
        <x:v>1</x:v>
      </x:c>
      <x:c r="G25" s="2">
        <x:v>1</x:v>
      </x:c>
      <x:c r="H25" s="5">
        <x:v>1</x:v>
      </x:c>
      <x:c r="I25" s="2">
        <x:f t="shared" si="0"/>
        <x:v>0</x:v>
      </x:c>
      <x:c r="J25" s="2">
        <x:f t="shared" si="1"/>
        <x:v>0</x:v>
      </x:c>
      <x:c r="K25" s="1" t="s">
        <x:v>59</x:v>
      </x:c>
      <x:c r="L25" s="6">
        <x:v>100</x:v>
      </x:c>
      <x:c r="M25" s="3">
        <x:f t="shared" si="2"/>
        <x:v>0</x:v>
      </x:c>
      <x:c r="N25" s="4" t="s">
        <x:v>99</x:v>
      </x:c>
      <x:c r="O25" s="4"/>
      <x:c r="P25" s="4" t="s">
        <x:v>176</x:v>
      </x:c>
      <x:c r="Q25" s="4" t="s">
        <x:v>177</x:v>
      </x:c>
    </x:row>
    <x:row r="26" ht="45.95000076293945" customHeight="1">
      <x:c r="A26" s="1" t="s">
        <x:v>178</x:v>
      </x:c>
      <x:c r="B26" s="1" t="s">
        <x:v>179</x:v>
      </x:c>
      <x:c r="C26" s="1" t="s">
        <x:v>173</x:v>
      </x:c>
      <x:c r="D26" s="4" t="s">
        <x:v>180</x:v>
      </x:c>
      <x:c r="E26" s="4" t="s">
        <x:v>181</x:v>
      </x:c>
      <x:c r="F26" s="2">
        <x:v>1</x:v>
      </x:c>
      <x:c r="G26" s="2">
        <x:v>1</x:v>
      </x:c>
      <x:c r="H26" s="5">
        <x:v>1</x:v>
      </x:c>
      <x:c r="I26" s="2">
        <x:f t="shared" si="0"/>
        <x:v>0</x:v>
      </x:c>
      <x:c r="J26" s="2">
        <x:f t="shared" si="1"/>
        <x:v>0</x:v>
      </x:c>
      <x:c r="K26" s="1" t="s">
        <x:v>59</x:v>
      </x:c>
      <x:c r="L26" s="6">
        <x:v>150</x:v>
      </x:c>
      <x:c r="M26" s="3">
        <x:f t="shared" si="2"/>
        <x:v>0</x:v>
      </x:c>
      <x:c r="N26" s="4" t="s">
        <x:v>99</x:v>
      </x:c>
      <x:c r="O26" s="4"/>
      <x:c r="P26" s="4" t="s">
        <x:v>182</x:v>
      </x:c>
      <x:c r="Q26" s="4" t="s">
        <x:v>183</x:v>
      </x:c>
    </x:row>
    <x:row r="27" ht="45.95000076293945" customHeight="1">
      <x:c r="A27" s="1" t="s">
        <x:v>184</x:v>
      </x:c>
      <x:c r="B27" s="1" t="s">
        <x:v>179</x:v>
      </x:c>
      <x:c r="C27" s="1" t="s">
        <x:v>173</x:v>
      </x:c>
      <x:c r="D27" s="4" t="s">
        <x:v>185</x:v>
      </x:c>
      <x:c r="E27" s="4" t="s">
        <x:v>186</x:v>
      </x:c>
      <x:c r="F27" s="2">
        <x:v>1</x:v>
      </x:c>
      <x:c r="G27" s="2">
        <x:v>1</x:v>
      </x:c>
      <x:c r="H27" s="5">
        <x:v>1</x:v>
      </x:c>
      <x:c r="I27" s="2">
        <x:f t="shared" si="0"/>
        <x:v>0</x:v>
      </x:c>
      <x:c r="J27" s="2">
        <x:f t="shared" si="1"/>
        <x:v>0</x:v>
      </x:c>
      <x:c r="K27" s="1" t="s">
        <x:v>59</x:v>
      </x:c>
      <x:c r="L27" s="6">
        <x:v>100</x:v>
      </x:c>
      <x:c r="M27" s="3">
        <x:f t="shared" si="2"/>
        <x:v>0</x:v>
      </x:c>
      <x:c r="N27" s="4" t="s">
        <x:v>99</x:v>
      </x:c>
      <x:c r="O27" s="4"/>
      <x:c r="P27" s="4" t="s">
        <x:v>187</x:v>
      </x:c>
      <x:c r="Q27" s="4" t="s">
        <x:v>183</x:v>
      </x:c>
    </x:row>
    <x:row r="28" ht="45.95000076293945" customHeight="1">
      <x:c r="A28" s="1" t="s">
        <x:v>188</x:v>
      </x:c>
      <x:c r="B28" s="1" t="s">
        <x:v>72</x:v>
      </x:c>
      <x:c r="C28" s="1" t="s">
        <x:v>110</x:v>
      </x:c>
      <x:c r="D28" s="4" t="s">
        <x:v>189</x:v>
      </x:c>
      <x:c r="E28" s="4" t="s">
        <x:v>190</x:v>
      </x:c>
      <x:c r="F28" s="2">
        <x:v>1</x:v>
      </x:c>
      <x:c r="G28" s="2">
        <x:v>1</x:v>
      </x:c>
      <x:c r="H28" s="5">
        <x:v>0</x:v>
      </x:c>
      <x:c r="I28" s="2">
        <x:f t="shared" si="0"/>
        <x:v>1</x:v>
      </x:c>
      <x:c r="J28" s="2">
        <x:f t="shared" si="1"/>
        <x:v>1</x:v>
      </x:c>
      <x:c r="K28" s="1" t="s">
        <x:v>59</x:v>
      </x:c>
      <x:c r="L28" s="6">
        <x:v>100</x:v>
      </x:c>
      <x:c r="M28" s="3">
        <x:f t="shared" si="2"/>
        <x:v>100</x:v>
      </x:c>
      <x:c r="N28" s="4" t="s">
        <x:v>113</x:v>
      </x:c>
      <x:c r="O28" s="4"/>
      <x:c r="P28" s="4" t="s">
        <x:v>191</x:v>
      </x:c>
      <x:c r="Q28" s="4" t="s">
        <x:v>115</x:v>
      </x:c>
    </x:row>
    <x:row r="29" ht="45.95000076293945" customHeight="1">
      <x:c r="A29" s="1" t="s">
        <x:v>192</x:v>
      </x:c>
      <x:c r="B29" s="1" t="s">
        <x:v>72</x:v>
      </x:c>
      <x:c r="C29" s="1" t="s">
        <x:v>110</x:v>
      </x:c>
      <x:c r="D29" s="4" t="s">
        <x:v>193</x:v>
      </x:c>
      <x:c r="E29" s="4" t="s">
        <x:v>194</x:v>
      </x:c>
      <x:c r="F29" s="2">
        <x:v>1</x:v>
      </x:c>
      <x:c r="G29" s="2">
        <x:v>1</x:v>
      </x:c>
      <x:c r="H29" s="5">
        <x:v>0</x:v>
      </x:c>
      <x:c r="I29" s="2">
        <x:f t="shared" si="0"/>
        <x:v>1</x:v>
      </x:c>
      <x:c r="J29" s="2">
        <x:f t="shared" si="1"/>
        <x:v>1</x:v>
      </x:c>
      <x:c r="K29" s="1" t="s">
        <x:v>59</x:v>
      </x:c>
      <x:c r="L29" s="6">
        <x:v>80</x:v>
      </x:c>
      <x:c r="M29" s="3">
        <x:f t="shared" si="2"/>
        <x:v>80</x:v>
      </x:c>
      <x:c r="N29" s="4" t="s">
        <x:v>113</x:v>
      </x:c>
      <x:c r="O29" s="4"/>
      <x:c r="P29" s="4" t="s">
        <x:v>195</x:v>
      </x:c>
      <x:c r="Q29" s="4" t="s">
        <x:v>115</x:v>
      </x:c>
    </x:row>
    <x:row r="30" ht="45.95000076293945" customHeight="1">
      <x:c r="A30" s="1" t="s">
        <x:v>196</x:v>
      </x:c>
      <x:c r="B30" s="1" t="s">
        <x:v>72</x:v>
      </x:c>
      <x:c r="C30" s="1" t="s">
        <x:v>197</x:v>
      </x:c>
      <x:c r="D30" s="4" t="s">
        <x:v>198</x:v>
      </x:c>
      <x:c r="E30" s="4" t="s">
        <x:v>199</x:v>
      </x:c>
      <x:c r="F30" s="2">
        <x:v>5</x:v>
      </x:c>
      <x:c r="G30" s="2">
        <x:v>6</x:v>
      </x:c>
      <x:c r="H30" s="5">
        <x:v>0</x:v>
      </x:c>
      <x:c r="I30" s="2">
        <x:f t="shared" si="0"/>
        <x:v>5</x:v>
      </x:c>
      <x:c r="J30" s="2">
        <x:f t="shared" si="1"/>
        <x:v>6</x:v>
      </x:c>
      <x:c r="K30" s="1" t="s">
        <x:v>200</x:v>
      </x:c>
      <x:c r="L30" s="6">
        <x:v>8</x:v>
      </x:c>
      <x:c r="M30" s="3">
        <x:f t="shared" si="2"/>
        <x:v>40</x:v>
      </x:c>
      <x:c r="N30" s="4" t="s">
        <x:v>201</x:v>
      </x:c>
      <x:c r="O30" s="4"/>
      <x:c r="P30" s="4" t="s">
        <x:v>202</x:v>
      </x:c>
      <x:c r="Q30" s="4" t="s">
        <x:v>203</x:v>
      </x:c>
    </x:row>
    <x:row r="31" ht="45.95000076293945" customHeight="1">
      <x:c r="A31" s="1" t="s">
        <x:v>204</x:v>
      </x:c>
      <x:c r="B31" s="1" t="s">
        <x:v>55</x:v>
      </x:c>
      <x:c r="C31" s="1" t="s">
        <x:v>205</x:v>
      </x:c>
      <x:c r="D31" s="4" t="s">
        <x:v>206</x:v>
      </x:c>
      <x:c r="E31" s="4" t="s">
        <x:v>207</x:v>
      </x:c>
      <x:c r="F31" s="2">
        <x:v>1</x:v>
      </x:c>
      <x:c r="G31" s="2">
        <x:v>1</x:v>
      </x:c>
      <x:c r="H31" s="5">
        <x:v>0</x:v>
      </x:c>
      <x:c r="I31" s="2">
        <x:f t="shared" si="0"/>
        <x:v>1</x:v>
      </x:c>
      <x:c r="J31" s="2">
        <x:f t="shared" si="1"/>
        <x:v>1</x:v>
      </x:c>
      <x:c r="K31" s="1" t="s">
        <x:v>59</x:v>
      </x:c>
      <x:c r="L31" s="6">
        <x:v>60</x:v>
      </x:c>
      <x:c r="M31" s="3">
        <x:f t="shared" si="2"/>
        <x:v>60</x:v>
      </x:c>
      <x:c r="N31" s="4" t="s">
        <x:v>113</x:v>
      </x:c>
      <x:c r="O31" s="4"/>
      <x:c r="P31" s="4" t="s">
        <x:v>208</x:v>
      </x:c>
      <x:c r="Q31" s="4" t="s">
        <x:v>209</x:v>
      </x:c>
    </x:row>
    <x:row r="32" ht="45.95000076293945" customHeight="1">
      <x:c r="A32" s="1" t="s">
        <x:v>210</x:v>
      </x:c>
      <x:c r="B32" s="1" t="s">
        <x:v>64</x:v>
      </x:c>
      <x:c r="C32" s="1" t="s">
        <x:v>205</x:v>
      </x:c>
      <x:c r="D32" s="4" t="s">
        <x:v>206</x:v>
      </x:c>
      <x:c r="E32" s="4" t="s">
        <x:v>211</x:v>
      </x:c>
      <x:c r="F32" s="2">
        <x:v>4</x:v>
      </x:c>
      <x:c r="G32" s="2">
        <x:v>5</x:v>
      </x:c>
      <x:c r="H32" s="5">
        <x:v>0</x:v>
      </x:c>
      <x:c r="I32" s="2">
        <x:f t="shared" si="0"/>
        <x:v>4</x:v>
      </x:c>
      <x:c r="J32" s="2">
        <x:f t="shared" si="1"/>
        <x:v>5</x:v>
      </x:c>
      <x:c r="K32" s="1" t="s">
        <x:v>59</x:v>
      </x:c>
      <x:c r="L32" s="6">
        <x:v>45</x:v>
      </x:c>
      <x:c r="M32" s="3">
        <x:f t="shared" si="2"/>
        <x:v>180</x:v>
      </x:c>
      <x:c r="N32" s="4" t="s">
        <x:v>113</x:v>
      </x:c>
      <x:c r="O32" s="4"/>
      <x:c r="P32" s="4" t="s">
        <x:v>212</x:v>
      </x:c>
      <x:c r="Q32" s="4" t="s">
        <x:v>209</x:v>
      </x:c>
    </x:row>
    <x:row r="33" ht="45.95000076293945" customHeight="1">
      <x:c r="A33" s="1" t="s">
        <x:v>213</x:v>
      </x:c>
      <x:c r="B33" s="1" t="s">
        <x:v>158</x:v>
      </x:c>
      <x:c r="C33" s="1" t="s">
        <x:v>205</x:v>
      </x:c>
      <x:c r="D33" s="4" t="s">
        <x:v>214</x:v>
      </x:c>
      <x:c r="E33" s="4" t="s">
        <x:v>215</x:v>
      </x:c>
      <x:c r="F33" s="2">
        <x:v>4</x:v>
      </x:c>
      <x:c r="G33" s="2">
        <x:v>5</x:v>
      </x:c>
      <x:c r="H33" s="5">
        <x:v>0</x:v>
      </x:c>
      <x:c r="I33" s="2">
        <x:f t="shared" si="0"/>
        <x:v>4</x:v>
      </x:c>
      <x:c r="J33" s="2">
        <x:f t="shared" si="1"/>
        <x:v>5</x:v>
      </x:c>
      <x:c r="K33" s="1" t="s">
        <x:v>59</x:v>
      </x:c>
      <x:c r="L33" s="6">
        <x:v>30</x:v>
      </x:c>
      <x:c r="M33" s="3">
        <x:f t="shared" si="2"/>
        <x:v>120</x:v>
      </x:c>
      <x:c r="N33" s="4" t="s">
        <x:v>113</x:v>
      </x:c>
      <x:c r="O33" s="4"/>
      <x:c r="P33" s="4" t="s">
        <x:v>216</x:v>
      </x:c>
      <x:c r="Q33" s="4" t="s">
        <x:v>217</x:v>
      </x:c>
    </x:row>
    <x:row r="34" ht="45.95000076293945" customHeight="1">
      <x:c r="A34" s="1" t="s">
        <x:v>218</x:v>
      </x:c>
      <x:c r="B34" s="1" t="s">
        <x:v>158</x:v>
      </x:c>
      <x:c r="C34" s="1" t="s">
        <x:v>219</x:v>
      </x:c>
      <x:c r="D34" s="4" t="s">
        <x:v>220</x:v>
      </x:c>
      <x:c r="E34" s="4" t="s">
        <x:v>221</x:v>
      </x:c>
      <x:c r="F34" s="2">
        <x:v>10</x:v>
      </x:c>
      <x:c r="G34" s="2">
        <x:v>12</x:v>
      </x:c>
      <x:c r="H34" s="5">
        <x:v>0</x:v>
      </x:c>
      <x:c r="I34" s="2">
        <x:f t="shared" si="0"/>
        <x:v>10</x:v>
      </x:c>
      <x:c r="J34" s="2">
        <x:f t="shared" si="1"/>
        <x:v>12</x:v>
      </x:c>
      <x:c r="K34" s="1" t="s">
        <x:v>59</x:v>
      </x:c>
      <x:c r="L34" s="6">
        <x:v>12</x:v>
      </x:c>
      <x:c r="M34" s="3">
        <x:f t="shared" si="2"/>
        <x:v>120</x:v>
      </x:c>
      <x:c r="N34" s="4" t="s">
        <x:v>222</x:v>
      </x:c>
      <x:c r="O34" s="4"/>
      <x:c r="P34" s="4" t="s">
        <x:v>223</x:v>
      </x:c>
      <x:c r="Q34" s="4" t="s">
        <x:v>217</x:v>
      </x:c>
    </x:row>
    <x:row r="35" ht="45.95000076293945" customHeight="1">
      <x:c r="A35" s="1" t="s">
        <x:v>224</x:v>
      </x:c>
      <x:c r="B35" s="1" t="s">
        <x:v>158</x:v>
      </x:c>
      <x:c r="C35" s="1" t="s">
        <x:v>225</x:v>
      </x:c>
      <x:c r="D35" s="4" t="s">
        <x:v>226</x:v>
      </x:c>
      <x:c r="E35" s="4" t="s">
        <x:v>227</x:v>
      </x:c>
      <x:c r="F35" s="2">
        <x:v>3</x:v>
      </x:c>
      <x:c r="G35" s="2">
        <x:v>3</x:v>
      </x:c>
      <x:c r="H35" s="5">
        <x:v>0</x:v>
      </x:c>
      <x:c r="I35" s="2">
        <x:f t="shared" si="0"/>
        <x:v>3</x:v>
      </x:c>
      <x:c r="J35" s="2">
        <x:f t="shared" si="1"/>
        <x:v>3</x:v>
      </x:c>
      <x:c r="K35" s="1" t="s">
        <x:v>59</x:v>
      </x:c>
      <x:c r="L35" s="6">
        <x:v>53</x:v>
      </x:c>
      <x:c r="M35" s="3">
        <x:f t="shared" si="2"/>
        <x:v>159</x:v>
      </x:c>
      <x:c r="N35" s="4" t="s">
        <x:v>228</x:v>
      </x:c>
      <x:c r="O35" s="4" t="s">
        <x:v>229</x:v>
      </x:c>
      <x:c r="P35" s="4" t="s">
        <x:v>230</x:v>
      </x:c>
      <x:c r="Q35" s="4" t="s">
        <x:v>231</x:v>
      </x:c>
    </x:row>
    <x:row r="36" ht="45.95000076293945" customHeight="1">
      <x:c r="A36" s="1" t="s">
        <x:v>232</x:v>
      </x:c>
      <x:c r="B36" s="1" t="s">
        <x:v>158</x:v>
      </x:c>
      <x:c r="C36" s="1" t="s">
        <x:v>225</x:v>
      </x:c>
      <x:c r="D36" s="4" t="s">
        <x:v>233</x:v>
      </x:c>
      <x:c r="E36" s="4" t="s">
        <x:v>234</x:v>
      </x:c>
      <x:c r="F36" s="2">
        <x:v>2</x:v>
      </x:c>
      <x:c r="G36" s="2">
        <x:v>2</x:v>
      </x:c>
      <x:c r="H36" s="5">
        <x:v>0</x:v>
      </x:c>
      <x:c r="I36" s="2">
        <x:f t="shared" si="0"/>
        <x:v>2</x:v>
      </x:c>
      <x:c r="J36" s="2">
        <x:f t="shared" si="1"/>
        <x:v>2</x:v>
      </x:c>
      <x:c r="K36" s="1" t="s">
        <x:v>59</x:v>
      </x:c>
      <x:c r="L36" s="6">
        <x:v>45</x:v>
      </x:c>
      <x:c r="M36" s="3">
        <x:f t="shared" si="2"/>
        <x:v>90</x:v>
      </x:c>
      <x:c r="N36" s="4" t="s">
        <x:v>235</x:v>
      </x:c>
      <x:c r="O36" s="4" t="s">
        <x:v>236</x:v>
      </x:c>
      <x:c r="P36" s="4" t="s">
        <x:v>237</x:v>
      </x:c>
      <x:c r="Q36" s="4" t="s">
        <x:v>231</x:v>
      </x:c>
    </x:row>
    <x:row r="37" ht="45.95000076293945" customHeight="1">
      <x:c r="A37" s="1" t="s">
        <x:v>238</x:v>
      </x:c>
      <x:c r="B37" s="1" t="s">
        <x:v>158</x:v>
      </x:c>
      <x:c r="C37" s="1" t="s">
        <x:v>239</x:v>
      </x:c>
      <x:c r="D37" s="4" t="s">
        <x:v>240</x:v>
      </x:c>
      <x:c r="E37" s="4" t="s">
        <x:v>241</x:v>
      </x:c>
      <x:c r="F37" s="2">
        <x:v>1</x:v>
      </x:c>
      <x:c r="G37" s="2">
        <x:v>1</x:v>
      </x:c>
      <x:c r="H37" s="5">
        <x:v>0</x:v>
      </x:c>
      <x:c r="I37" s="2">
        <x:f t="shared" si="0"/>
        <x:v>1</x:v>
      </x:c>
      <x:c r="J37" s="2">
        <x:f t="shared" si="1"/>
        <x:v>1</x:v>
      </x:c>
      <x:c r="K37" s="1" t="s">
        <x:v>59</x:v>
      </x:c>
      <x:c r="L37" s="6">
        <x:v>120</x:v>
      </x:c>
      <x:c r="M37" s="3">
        <x:f t="shared" si="2"/>
        <x:v>120</x:v>
      </x:c>
      <x:c r="N37" s="4" t="s">
        <x:v>113</x:v>
      </x:c>
      <x:c r="O37" s="4"/>
      <x:c r="P37" s="4" t="s">
        <x:v>242</x:v>
      </x:c>
      <x:c r="Q37" s="4" t="s">
        <x:v>243</x:v>
      </x:c>
    </x:row>
    <x:row r="38" ht="45.95000076293945" customHeight="1">
      <x:c r="A38" s="1" t="s">
        <x:v>244</x:v>
      </x:c>
      <x:c r="B38" s="1" t="s">
        <x:v>158</x:v>
      </x:c>
      <x:c r="C38" s="1" t="s">
        <x:v>245</x:v>
      </x:c>
      <x:c r="D38" s="4" t="s">
        <x:v>246</x:v>
      </x:c>
      <x:c r="E38" s="4" t="s">
        <x:v>247</x:v>
      </x:c>
      <x:c r="F38" s="2">
        <x:v>20</x:v>
      </x:c>
      <x:c r="G38" s="2">
        <x:v>24</x:v>
      </x:c>
      <x:c r="H38" s="5">
        <x:v>0</x:v>
      </x:c>
      <x:c r="I38" s="2">
        <x:f t="shared" si="0"/>
        <x:v>20</x:v>
      </x:c>
      <x:c r="J38" s="2">
        <x:f t="shared" si="1"/>
        <x:v>24</x:v>
      </x:c>
      <x:c r="K38" s="1" t="s">
        <x:v>59</x:v>
      </x:c>
      <x:c r="L38" s="6">
        <x:v>5</x:v>
      </x:c>
      <x:c r="M38" s="3">
        <x:f t="shared" si="2"/>
        <x:v>100</x:v>
      </x:c>
      <x:c r="N38" s="4" t="s">
        <x:v>248</x:v>
      </x:c>
      <x:c r="O38" s="4"/>
      <x:c r="P38" s="4" t="s">
        <x:v>249</x:v>
      </x:c>
      <x:c r="Q38" s="4" t="s">
        <x:v>250</x:v>
      </x:c>
    </x:row>
    <x:row r="39" ht="45.95000076293945" customHeight="1">
      <x:c r="A39" s="1" t="s">
        <x:v>251</x:v>
      </x:c>
      <x:c r="B39" s="1" t="s">
        <x:v>158</x:v>
      </x:c>
      <x:c r="C39" s="1" t="s">
        <x:v>245</x:v>
      </x:c>
      <x:c r="D39" s="4" t="s">
        <x:v>252</x:v>
      </x:c>
      <x:c r="E39" s="4" t="s">
        <x:v>253</x:v>
      </x:c>
      <x:c r="F39" s="2">
        <x:v>20</x:v>
      </x:c>
      <x:c r="G39" s="2">
        <x:v>24</x:v>
      </x:c>
      <x:c r="H39" s="5">
        <x:v>0</x:v>
      </x:c>
      <x:c r="I39" s="2">
        <x:f t="shared" si="0"/>
        <x:v>20</x:v>
      </x:c>
      <x:c r="J39" s="2">
        <x:f t="shared" si="1"/>
        <x:v>24</x:v>
      </x:c>
      <x:c r="K39" s="1" t="s">
        <x:v>59</x:v>
      </x:c>
      <x:c r="L39" s="6">
        <x:v>4</x:v>
      </x:c>
      <x:c r="M39" s="3">
        <x:f t="shared" si="2"/>
        <x:v>80</x:v>
      </x:c>
      <x:c r="N39" s="4" t="s">
        <x:v>254</x:v>
      </x:c>
      <x:c r="O39" s="4"/>
      <x:c r="P39" s="4" t="s">
        <x:v>255</x:v>
      </x:c>
      <x:c r="Q39" s="4" t="s">
        <x:v>250</x:v>
      </x:c>
    </x:row>
    <x:row r="40" ht="45.95000076293945" customHeight="1">
      <x:c r="A40" s="1" t="s">
        <x:v>256</x:v>
      </x:c>
      <x:c r="B40" s="1" t="s">
        <x:v>158</x:v>
      </x:c>
      <x:c r="C40" s="1" t="s">
        <x:v>245</x:v>
      </x:c>
      <x:c r="D40" s="4" t="s">
        <x:v>257</x:v>
      </x:c>
      <x:c r="E40" s="4" t="s">
        <x:v>258</x:v>
      </x:c>
      <x:c r="F40" s="2">
        <x:v>1</x:v>
      </x:c>
      <x:c r="G40" s="2">
        <x:v>1</x:v>
      </x:c>
      <x:c r="H40" s="5">
        <x:v>0</x:v>
      </x:c>
      <x:c r="I40" s="2">
        <x:f t="shared" si="0"/>
        <x:v>1</x:v>
      </x:c>
      <x:c r="J40" s="2">
        <x:f t="shared" si="1"/>
        <x:v>1</x:v>
      </x:c>
      <x:c r="K40" s="1" t="s">
        <x:v>59</x:v>
      </x:c>
      <x:c r="L40" s="6">
        <x:v>180</x:v>
      </x:c>
      <x:c r="M40" s="3">
        <x:f t="shared" si="2"/>
        <x:v>180</x:v>
      </x:c>
      <x:c r="N40" s="4" t="s">
        <x:v>113</x:v>
      </x:c>
      <x:c r="O40" s="4"/>
      <x:c r="P40" s="4" t="s">
        <x:v>259</x:v>
      </x:c>
      <x:c r="Q40" s="4" t="s">
        <x:v>250</x:v>
      </x:c>
    </x:row>
    <x:row r="41" ht="45.95000076293945" customHeight="1">
      <x:c r="A41" s="1" t="s">
        <x:v>260</x:v>
      </x:c>
      <x:c r="B41" s="1" t="s">
        <x:v>158</x:v>
      </x:c>
      <x:c r="C41" s="1" t="s">
        <x:v>261</x:v>
      </x:c>
      <x:c r="D41" s="4" t="s">
        <x:v>262</x:v>
      </x:c>
      <x:c r="E41" s="4" t="s">
        <x:v>263</x:v>
      </x:c>
      <x:c r="F41" s="2">
        <x:v>5</x:v>
      </x:c>
      <x:c r="G41" s="2">
        <x:v>6</x:v>
      </x:c>
      <x:c r="H41" s="5">
        <x:v>0</x:v>
      </x:c>
      <x:c r="I41" s="2">
        <x:f t="shared" si="0"/>
        <x:v>5</x:v>
      </x:c>
      <x:c r="J41" s="2">
        <x:f t="shared" si="1"/>
        <x:v>6</x:v>
      </x:c>
      <x:c r="K41" s="1" t="s">
        <x:v>264</x:v>
      </x:c>
      <x:c r="L41" s="6">
        <x:v>0</x:v>
      </x:c>
      <x:c r="M41" s="3">
        <x:f t="shared" si="2"/>
        <x:v>0</x:v>
      </x:c>
      <x:c r="N41" s="4" t="s">
        <x:v>265</x:v>
      </x:c>
      <x:c r="O41" s="4"/>
      <x:c r="P41" s="4" t="s">
        <x:v>266</x:v>
      </x:c>
      <x:c r="Q41" s="4" t="s">
        <x:v>267</x:v>
      </x:c>
    </x:row>
    <x:row r="42" ht="45.95000076293945" customHeight="1">
      <x:c r="A42" s="1" t="s">
        <x:v>268</x:v>
      </x:c>
      <x:c r="B42" s="1" t="s">
        <x:v>269</x:v>
      </x:c>
      <x:c r="C42" s="1" t="s">
        <x:v>270</x:v>
      </x:c>
      <x:c r="D42" s="4" t="s">
        <x:v>271</x:v>
      </x:c>
      <x:c r="E42" s="4" t="s">
        <x:v>272</x:v>
      </x:c>
      <x:c r="F42" s="2">
        <x:v>1</x:v>
      </x:c>
      <x:c r="G42" s="2">
        <x:v>1</x:v>
      </x:c>
      <x:c r="H42" s="5">
        <x:v>0</x:v>
      </x:c>
      <x:c r="I42" s="2">
        <x:f t="shared" si="0"/>
        <x:v>1</x:v>
      </x:c>
      <x:c r="J42" s="2">
        <x:f t="shared" si="1"/>
        <x:v>1</x:v>
      </x:c>
      <x:c r="K42" s="1" t="s">
        <x:v>59</x:v>
      </x:c>
      <x:c r="L42" s="6">
        <x:v>1000</x:v>
      </x:c>
      <x:c r="M42" s="3">
        <x:f t="shared" si="2"/>
        <x:v>1000</x:v>
      </x:c>
      <x:c r="N42" s="4" t="s">
        <x:v>273</x:v>
      </x:c>
      <x:c r="O42" s="4"/>
      <x:c r="P42" s="4" t="s">
        <x:v>274</x:v>
      </x:c>
      <x:c r="Q42" s="4" t="s">
        <x:v>183</x:v>
      </x:c>
    </x:row>
    <x:row r="43" ht="45.95000076293945" customHeight="1">
      <x:c r="A43" s="1" t="s">
        <x:v>275</x:v>
      </x:c>
      <x:c r="B43" s="1" t="s">
        <x:v>269</x:v>
      </x:c>
      <x:c r="C43" s="1" t="s">
        <x:v>276</x:v>
      </x:c>
      <x:c r="D43" s="4" t="s">
        <x:v>277</x:v>
      </x:c>
      <x:c r="E43" s="4" t="s">
        <x:v>278</x:v>
      </x:c>
      <x:c r="F43" s="2">
        <x:v>1</x:v>
      </x:c>
      <x:c r="G43" s="2">
        <x:v>1</x:v>
      </x:c>
      <x:c r="H43" s="5">
        <x:v>0</x:v>
      </x:c>
      <x:c r="I43" s="2">
        <x:f t="shared" si="0"/>
        <x:v>1</x:v>
      </x:c>
      <x:c r="J43" s="2">
        <x:f t="shared" si="1"/>
        <x:v>1</x:v>
      </x:c>
      <x:c r="K43" s="1" t="s">
        <x:v>59</x:v>
      </x:c>
      <x:c r="L43" s="6">
        <x:v>300</x:v>
      </x:c>
      <x:c r="M43" s="3">
        <x:f t="shared" si="2"/>
        <x:v>300</x:v>
      </x:c>
      <x:c r="N43" s="4" t="s">
        <x:v>279</x:v>
      </x:c>
      <x:c r="O43" s="4"/>
      <x:c r="P43" s="4" t="s">
        <x:v>280</x:v>
      </x:c>
      <x:c r="Q43" s="4" t="s">
        <x:v>183</x:v>
      </x:c>
    </x:row>
    <x:row r="44" ht="45.95000076293945" customHeight="1">
      <x:c r="A44" s="1" t="s">
        <x:v>281</x:v>
      </x:c>
      <x:c r="B44" s="1" t="s">
        <x:v>269</x:v>
      </x:c>
      <x:c r="C44" s="1" t="s">
        <x:v>282</x:v>
      </x:c>
      <x:c r="D44" s="4" t="s">
        <x:v>283</x:v>
      </x:c>
      <x:c r="E44" s="4" t="s">
        <x:v>284</x:v>
      </x:c>
      <x:c r="F44" s="2">
        <x:v>1</x:v>
      </x:c>
      <x:c r="G44" s="2">
        <x:v>1</x:v>
      </x:c>
      <x:c r="H44" s="5">
        <x:v>0</x:v>
      </x:c>
      <x:c r="I44" s="2">
        <x:f t="shared" si="0"/>
        <x:v>1</x:v>
      </x:c>
      <x:c r="J44" s="2">
        <x:f t="shared" si="1"/>
        <x:v>1</x:v>
      </x:c>
      <x:c r="K44" s="1" t="s">
        <x:v>59</x:v>
      </x:c>
      <x:c r="L44" s="6">
        <x:v>300</x:v>
      </x:c>
      <x:c r="M44" s="3">
        <x:f t="shared" si="2"/>
        <x:v>300</x:v>
      </x:c>
      <x:c r="N44" s="4" t="s">
        <x:v>113</x:v>
      </x:c>
      <x:c r="O44" s="4"/>
      <x:c r="P44" s="4" t="s">
        <x:v>285</x:v>
      </x:c>
      <x:c r="Q44" s="4" t="s">
        <x:v>183</x:v>
      </x:c>
    </x:row>
    <x:row r="45" ht="45.95000076293945" customHeight="1">
      <x:c r="A45" s="1" t="s">
        <x:v>286</x:v>
      </x:c>
      <x:c r="B45" s="1" t="s">
        <x:v>287</x:v>
      </x:c>
      <x:c r="C45" s="1" t="s">
        <x:v>288</x:v>
      </x:c>
      <x:c r="D45" s="4" t="s">
        <x:v>289</x:v>
      </x:c>
      <x:c r="E45" s="4" t="s">
        <x:v>290</x:v>
      </x:c>
      <x:c r="F45" s="2">
        <x:v>0</x:v>
      </x:c>
      <x:c r="G45" s="2">
        <x:v>0</x:v>
      </x:c>
      <x:c r="H45" s="5">
        <x:v>0</x:v>
      </x:c>
      <x:c r="I45" s="2">
        <x:f t="shared" si="0"/>
        <x:v>0</x:v>
      </x:c>
      <x:c r="J45" s="2">
        <x:f t="shared" si="1"/>
        <x:v>0</x:v>
      </x:c>
      <x:c r="K45" s="1" t="s">
        <x:v>291</x:v>
      </x:c>
      <x:c r="L45" s="6">
        <x:v>199</x:v>
      </x:c>
      <x:c r="M45" s="3">
        <x:f t="shared" si="2"/>
        <x:v>0</x:v>
      </x:c>
      <x:c r="N45" s="4" t="s">
        <x:v>292</x:v>
      </x:c>
      <x:c r="O45" s="4" t="s">
        <x:v>293</x:v>
      </x:c>
      <x:c r="P45" s="4" t="s">
        <x:v>294</x:v>
      </x:c>
      <x:c r="Q45" s="4" t="s">
        <x:v>149</x:v>
      </x:c>
    </x:row>
    <x:row r="46" ht="45.95000076293945" customHeight="1">
      <x:c r="A46" s="1" t="s">
        <x:v>295</x:v>
      </x:c>
      <x:c r="B46" s="1" t="s">
        <x:v>296</x:v>
      </x:c>
      <x:c r="C46" s="1" t="s">
        <x:v>297</x:v>
      </x:c>
      <x:c r="D46" s="4" t="s">
        <x:v>298</x:v>
      </x:c>
      <x:c r="E46" s="4" t="s">
        <x:v>299</x:v>
      </x:c>
      <x:c r="F46" s="2">
        <x:v>0</x:v>
      </x:c>
      <x:c r="G46" s="2">
        <x:v>0</x:v>
      </x:c>
      <x:c r="H46" s="5">
        <x:v>0</x:v>
      </x:c>
      <x:c r="I46" s="2">
        <x:f t="shared" si="0"/>
        <x:v>0</x:v>
      </x:c>
      <x:c r="J46" s="2">
        <x:f t="shared" si="1"/>
        <x:v>0</x:v>
      </x:c>
      <x:c r="K46" s="1" t="s">
        <x:v>300</x:v>
      </x:c>
      <x:c r="L46" s="6">
        <x:v>247</x:v>
      </x:c>
      <x:c r="M46" s="3">
        <x:f t="shared" si="2"/>
        <x:v>0</x:v>
      </x:c>
      <x:c r="N46" s="4" t="s">
        <x:v>301</x:v>
      </x:c>
      <x:c r="O46" s="4" t="s">
        <x:v>302</x:v>
      </x:c>
      <x:c r="P46" s="4" t="s">
        <x:v>303</x:v>
      </x:c>
      <x:c r="Q46" s="4" t="s">
        <x:v>156</x:v>
      </x:c>
    </x:row>
    <x:row r="47" ht="45.95000076293945" customHeight="1">
      <x:c r="A47" s="1" t="s">
        <x:v>304</x:v>
      </x:c>
      <x:c r="B47" s="1" t="s">
        <x:v>287</x:v>
      </x:c>
      <x:c r="C47" s="1" t="s">
        <x:v>305</x:v>
      </x:c>
      <x:c r="D47" s="4" t="s">
        <x:v>306</x:v>
      </x:c>
      <x:c r="E47" s="4" t="s">
        <x:v>307</x:v>
      </x:c>
      <x:c r="F47" s="2">
        <x:v>0</x:v>
      </x:c>
      <x:c r="G47" s="2">
        <x:v>0</x:v>
      </x:c>
      <x:c r="H47" s="5">
        <x:v>1</x:v>
      </x:c>
      <x:c r="I47" s="2">
        <x:f t="shared" si="0"/>
        <x:v>0</x:v>
      </x:c>
      <x:c r="J47" s="2">
        <x:f t="shared" si="1"/>
        <x:v>0</x:v>
      </x:c>
      <x:c r="K47" s="1" t="s">
        <x:v>308</x:v>
      </x:c>
      <x:c r="L47" s="6">
        <x:v>0</x:v>
      </x:c>
      <x:c r="M47" s="3">
        <x:f t="shared" si="2"/>
        <x:v>0</x:v>
      </x:c>
      <x:c r="N47" s="4" t="s">
        <x:v>99</x:v>
      </x:c>
      <x:c r="O47" s="4"/>
      <x:c r="P47" s="4" t="s">
        <x:v>309</x:v>
      </x:c>
      <x:c r="Q47" s="4" t="s">
        <x:v>310</x:v>
      </x:c>
    </x:row>
    <x:row r="48" ht="45.95000076293945" customHeight="1">
      <x:c r="A48" s="1" t="s">
        <x:v>311</x:v>
      </x:c>
      <x:c r="B48" s="1" t="s">
        <x:v>312</x:v>
      </x:c>
      <x:c r="C48" s="1" t="s">
        <x:v>73</x:v>
      </x:c>
      <x:c r="D48" s="4" t="s">
        <x:v>313</x:v>
      </x:c>
      <x:c r="E48" s="4" t="s">
        <x:v>314</x:v>
      </x:c>
      <x:c r="F48" s="2">
        <x:v>0</x:v>
      </x:c>
      <x:c r="G48" s="2">
        <x:v>0</x:v>
      </x:c>
      <x:c r="H48" s="5">
        <x:v>0</x:v>
      </x:c>
      <x:c r="I48" s="2">
        <x:f t="shared" si="0"/>
        <x:v>0</x:v>
      </x:c>
      <x:c r="J48" s="2">
        <x:f t="shared" si="1"/>
        <x:v>0</x:v>
      </x:c>
      <x:c r="K48" s="1" t="s">
        <x:v>308</x:v>
      </x:c>
      <x:c r="L48" s="6">
        <x:v>0</x:v>
      </x:c>
      <x:c r="M48" s="3">
        <x:f t="shared" si="2"/>
        <x:v>0</x:v>
      </x:c>
      <x:c r="N48" s="4" t="s">
        <x:v>315</x:v>
      </x:c>
      <x:c r="O48" s="4"/>
      <x:c r="P48" s="4" t="s">
        <x:v>316</x:v>
      </x:c>
      <x:c r="Q48" s="4" t="s">
        <x:v>317</x:v>
      </x:c>
    </x:row>
  </x:sheetData>
  <x:mergeCells>
    <x:mergeCell ref="A1:Q2"/>
    <x:mergeCell ref="A3:Q3"/>
    <x:mergeCell ref="A4:Q4"/>
    <x:mergeCell ref="A6:Q6"/>
  </x:mergeCells>
  <x:conditionalFormatting sqref="I8:J48">
    <x:cfRule type="cellIs" dxfId="2" priority="1" operator="greaterThan">
      <x:formula>0</x:formula>
    </x:cfRule>
  </x:conditionalFormatting>
  <x:conditionalFormatting sqref="K8:K48">
    <x:cfRule type="containsText" dxfId="1" priority="2" operator="containsText" text="P0"/>
    <x:cfRule type="containsText" dxfId="0" priority="3" operator="containsText" text="Future"/>
  </x:conditionalFormatting>
  <x:dataValidations count="2">
    <x:dataValidation type="whole" sqref="H8:H48">
      <x:formula1>0</x:formula1>
      <x:formula2>100</x:formula2>
    </x:dataValidation>
    <x:dataValidation type="list" sqref="K8:K48">
      <x:formula1>"P0,P0 recommended,Buy after assembly,Future qualification,Optional evaluation,P1 - do not buy"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85c0025c76a43cf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4.25"/>
  <x:cols>
    <x:col min="1" max="1" width="19" customWidth="1"/>
    <x:col min="2" max="2" width="30" customWidth="1"/>
    <x:col min="3" max="3" width="48" customWidth="1"/>
    <x:col min="4" max="4" width="42" customWidth="1"/>
    <x:col min="5" max="5" width="45" customWidth="1"/>
    <x:col min="6" max="6" width="43" customWidth="1"/>
    <x:col min="7" max="7" width="45" customWidth="1"/>
  </x:cols>
  <x:sheetData>
    <x:row r="1" ht="27.950000762939453" customHeight="1">
      <x:c r="A1" s="54" t="s">
        <x:v>318</x:v>
      </x:c>
      <x:c r="B1" s="54"/>
      <x:c r="C1" s="54"/>
      <x:c r="D1" s="54"/>
      <x:c r="E1" s="54"/>
      <x:c r="F1" s="54"/>
      <x:c r="G1" s="54"/>
    </x:row>
    <x:row r="2" ht="27.950000762939453" customHeight="1">
      <x:c r="A2" s="54"/>
      <x:c r="B2" s="54"/>
      <x:c r="C2" s="54"/>
      <x:c r="D2" s="54"/>
      <x:c r="E2" s="54"/>
      <x:c r="F2" s="54"/>
      <x:c r="G2" s="54"/>
    </x:row>
    <x:row r="3" ht="42" customHeight="1">
      <x:c r="A3" s="55" t="s">
        <x:v>319</x:v>
      </x:c>
      <x:c r="B3" s="55"/>
      <x:c r="C3" s="55"/>
      <x:c r="D3" s="55"/>
      <x:c r="E3" s="55"/>
      <x:c r="F3" s="55"/>
      <x:c r="G3" s="55"/>
    </x:row>
    <x:row r="4" ht="42" customHeight="1">
      <x:c r="A4" s="55"/>
      <x:c r="B4" s="55"/>
      <x:c r="C4" s="55"/>
      <x:c r="D4" s="55"/>
      <x:c r="E4" s="55"/>
      <x:c r="F4" s="55"/>
      <x:c r="G4" s="55"/>
    </x:row>
    <x:row r="6" ht="33.95000076293945" customHeight="1">
      <x:c r="A6" s="1" t="s">
        <x:v>320</x:v>
      </x:c>
      <x:c r="B6" s="1" t="s">
        <x:v>321</x:v>
      </x:c>
      <x:c r="C6" s="1" t="s">
        <x:v>322</x:v>
      </x:c>
      <x:c r="D6" s="1" t="s">
        <x:v>323</x:v>
      </x:c>
      <x:c r="E6" s="1" t="s">
        <x:v>324</x:v>
      </x:c>
      <x:c r="F6" s="1" t="s">
        <x:v>325</x:v>
      </x:c>
      <x:c r="G6" s="1" t="s">
        <x:v>326</x:v>
      </x:c>
    </x:row>
    <x:row r="7" ht="72" customHeight="1">
      <x:c r="A7" s="1" t="s">
        <x:v>62</x:v>
      </x:c>
      <x:c r="B7" s="4" t="s">
        <x:v>327</x:v>
      </x:c>
      <x:c r="C7" s="4" t="s">
        <x:v>328</x:v>
      </x:c>
      <x:c r="D7" s="4" t="s">
        <x:v>329</x:v>
      </x:c>
      <x:c r="E7" s="4" t="s">
        <x:v>330</x:v>
      </x:c>
      <x:c r="F7" s="4" t="s">
        <x:v>331</x:v>
      </x:c>
      <x:c r="G7" s="4" t="s">
        <x:v>332</x:v>
      </x:c>
    </x:row>
    <x:row r="8" ht="72" customHeight="1">
      <x:c r="A8" s="1" t="s">
        <x:v>70</x:v>
      </x:c>
      <x:c r="B8" s="4" t="s">
        <x:v>333</x:v>
      </x:c>
      <x:c r="C8" s="4" t="s">
        <x:v>334</x:v>
      </x:c>
      <x:c r="D8" s="4" t="s">
        <x:v>335</x:v>
      </x:c>
      <x:c r="E8" s="4" t="s">
        <x:v>336</x:v>
      </x:c>
      <x:c r="F8" s="4" t="s">
        <x:v>337</x:v>
      </x:c>
      <x:c r="G8" s="4" t="s">
        <x:v>338</x:v>
      </x:c>
    </x:row>
    <x:row r="9" ht="72" customHeight="1">
      <x:c r="A9" s="1" t="s">
        <x:v>79</x:v>
      </x:c>
      <x:c r="B9" s="4" t="s">
        <x:v>339</x:v>
      </x:c>
      <x:c r="C9" s="4" t="s">
        <x:v>340</x:v>
      </x:c>
      <x:c r="D9" s="4" t="s">
        <x:v>341</x:v>
      </x:c>
      <x:c r="E9" s="4" t="s">
        <x:v>342</x:v>
      </x:c>
      <x:c r="F9" s="4" t="s">
        <x:v>343</x:v>
      </x:c>
      <x:c r="G9" s="4" t="s">
        <x:v>344</x:v>
      </x:c>
    </x:row>
    <x:row r="10" ht="72" customHeight="1">
      <x:c r="A10" s="1" t="s">
        <x:v>86</x:v>
      </x:c>
      <x:c r="B10" s="4" t="s">
        <x:v>345</x:v>
      </x:c>
      <x:c r="C10" s="4" t="s">
        <x:v>346</x:v>
      </x:c>
      <x:c r="D10" s="4" t="s">
        <x:v>347</x:v>
      </x:c>
      <x:c r="E10" s="4" t="s">
        <x:v>348</x:v>
      </x:c>
      <x:c r="F10" s="4" t="s">
        <x:v>349</x:v>
      </x:c>
      <x:c r="G10" s="4" t="s">
        <x:v>350</x:v>
      </x:c>
    </x:row>
    <x:row r="11" ht="72" customHeight="1">
      <x:c r="A11" s="1" t="s">
        <x:v>94</x:v>
      </x:c>
      <x:c r="B11" s="4" t="s">
        <x:v>351</x:v>
      </x:c>
      <x:c r="C11" s="4" t="s">
        <x:v>352</x:v>
      </x:c>
      <x:c r="D11" s="4" t="s">
        <x:v>353</x:v>
      </x:c>
      <x:c r="E11" s="4" t="s">
        <x:v>354</x:v>
      </x:c>
      <x:c r="F11" s="4" t="s">
        <x:v>355</x:v>
      </x:c>
      <x:c r="G11" s="4" t="s">
        <x:v>356</x:v>
      </x:c>
    </x:row>
    <x:row r="12" ht="72" customHeight="1">
      <x:c r="A12" s="1" t="s">
        <x:v>101</x:v>
      </x:c>
      <x:c r="B12" s="4" t="s">
        <x:v>357</x:v>
      </x:c>
      <x:c r="C12" s="4" t="s">
        <x:v>358</x:v>
      </x:c>
      <x:c r="D12" s="4" t="s">
        <x:v>359</x:v>
      </x:c>
      <x:c r="E12" s="4" t="s">
        <x:v>360</x:v>
      </x:c>
      <x:c r="F12" s="4" t="s">
        <x:v>361</x:v>
      </x:c>
      <x:c r="G12" s="4" t="s">
        <x:v>362</x:v>
      </x:c>
    </x:row>
    <x:row r="13" ht="72" customHeight="1">
      <x:c r="A13" s="1" t="s">
        <x:v>108</x:v>
      </x:c>
      <x:c r="B13" s="4" t="s">
        <x:v>363</x:v>
      </x:c>
      <x:c r="C13" s="4" t="s">
        <x:v>364</x:v>
      </x:c>
      <x:c r="D13" s="4" t="s">
        <x:v>365</x:v>
      </x:c>
      <x:c r="E13" s="4" t="s">
        <x:v>366</x:v>
      </x:c>
      <x:c r="F13" s="4" t="s">
        <x:v>367</x:v>
      </x:c>
      <x:c r="G13" s="4" t="s">
        <x:v>368</x:v>
      </x:c>
    </x:row>
    <x:row r="14" ht="72" customHeight="1">
      <x:c r="A14" s="1" t="s">
        <x:v>141</x:v>
      </x:c>
      <x:c r="B14" s="4" t="s">
        <x:v>369</x:v>
      </x:c>
      <x:c r="C14" s="4" t="s">
        <x:v>370</x:v>
      </x:c>
      <x:c r="D14" s="4" t="s">
        <x:v>371</x:v>
      </x:c>
      <x:c r="E14" s="4" t="s">
        <x:v>372</x:v>
      </x:c>
      <x:c r="F14" s="4" t="s">
        <x:v>373</x:v>
      </x:c>
      <x:c r="G14" s="4" t="s">
        <x:v>374</x:v>
      </x:c>
    </x:row>
    <x:row r="15" ht="72" customHeight="1">
      <x:c r="A15" s="1" t="s">
        <x:v>149</x:v>
      </x:c>
      <x:c r="B15" s="4" t="s">
        <x:v>375</x:v>
      </x:c>
      <x:c r="C15" s="4" t="s">
        <x:v>376</x:v>
      </x:c>
      <x:c r="D15" s="4" t="s">
        <x:v>377</x:v>
      </x:c>
      <x:c r="E15" s="4" t="s">
        <x:v>378</x:v>
      </x:c>
      <x:c r="F15" s="4" t="s">
        <x:v>379</x:v>
      </x:c>
      <x:c r="G15" s="4" t="s">
        <x:v>380</x:v>
      </x:c>
    </x:row>
    <x:row r="16" ht="72" customHeight="1">
      <x:c r="A16" s="1" t="s">
        <x:v>156</x:v>
      </x:c>
      <x:c r="B16" s="4" t="s">
        <x:v>381</x:v>
      </x:c>
      <x:c r="C16" s="4" t="s">
        <x:v>382</x:v>
      </x:c>
      <x:c r="D16" s="4" t="s">
        <x:v>383</x:v>
      </x:c>
      <x:c r="E16" s="4" t="s">
        <x:v>384</x:v>
      </x:c>
      <x:c r="F16" s="4" t="s">
        <x:v>385</x:v>
      </x:c>
      <x:c r="G16" s="4" t="s">
        <x:v>386</x:v>
      </x:c>
    </x:row>
    <x:row r="17" ht="72" customHeight="1">
      <x:c r="A17" s="1" t="s">
        <x:v>164</x:v>
      </x:c>
      <x:c r="B17" s="4" t="s">
        <x:v>387</x:v>
      </x:c>
      <x:c r="C17" s="4" t="s">
        <x:v>388</x:v>
      </x:c>
      <x:c r="D17" s="4" t="s">
        <x:v>389</x:v>
      </x:c>
      <x:c r="E17" s="4" t="s">
        <x:v>390</x:v>
      </x:c>
      <x:c r="F17" s="4" t="s">
        <x:v>391</x:v>
      </x:c>
      <x:c r="G17" s="4" t="s">
        <x:v>392</x:v>
      </x:c>
    </x:row>
    <x:row r="18" ht="72" customHeight="1">
      <x:c r="A18" s="1" t="s">
        <x:v>171</x:v>
      </x:c>
      <x:c r="B18" s="4" t="s">
        <x:v>393</x:v>
      </x:c>
      <x:c r="C18" s="4" t="s">
        <x:v>394</x:v>
      </x:c>
      <x:c r="D18" s="4" t="s">
        <x:v>395</x:v>
      </x:c>
      <x:c r="E18" s="4" t="s">
        <x:v>396</x:v>
      </x:c>
      <x:c r="F18" s="4" t="s">
        <x:v>397</x:v>
      </x:c>
      <x:c r="G18" s="4" t="s">
        <x:v>398</x:v>
      </x:c>
    </x:row>
    <x:row r="19" ht="72" customHeight="1">
      <x:c r="A19" s="1" t="s">
        <x:v>115</x:v>
      </x:c>
      <x:c r="B19" s="4" t="s">
        <x:v>399</x:v>
      </x:c>
      <x:c r="C19" s="4" t="s">
        <x:v>400</x:v>
      </x:c>
      <x:c r="D19" s="4" t="s">
        <x:v>401</x:v>
      </x:c>
      <x:c r="E19" s="4" t="s">
        <x:v>402</x:v>
      </x:c>
      <x:c r="F19" s="4" t="s">
        <x:v>403</x:v>
      </x:c>
      <x:c r="G19" s="4" t="s">
        <x:v>404</x:v>
      </x:c>
    </x:row>
    <x:row r="20" ht="72" customHeight="1">
      <x:c r="A20" s="1" t="s">
        <x:v>125</x:v>
      </x:c>
      <x:c r="B20" s="4" t="s">
        <x:v>405</x:v>
      </x:c>
      <x:c r="C20" s="4" t="s">
        <x:v>406</x:v>
      </x:c>
      <x:c r="D20" s="4" t="s">
        <x:v>407</x:v>
      </x:c>
      <x:c r="E20" s="4" t="s">
        <x:v>408</x:v>
      </x:c>
      <x:c r="F20" s="4" t="s">
        <x:v>409</x:v>
      </x:c>
      <x:c r="G20" s="4" t="s">
        <x:v>410</x:v>
      </x:c>
    </x:row>
    <x:row r="21" ht="72" customHeight="1">
      <x:c r="A21" s="1" t="s">
        <x:v>131</x:v>
      </x:c>
      <x:c r="B21" s="4" t="s">
        <x:v>411</x:v>
      </x:c>
      <x:c r="C21" s="4" t="s">
        <x:v>412</x:v>
      </x:c>
      <x:c r="D21" s="4" t="s">
        <x:v>413</x:v>
      </x:c>
      <x:c r="E21" s="4" t="s">
        <x:v>414</x:v>
      </x:c>
      <x:c r="F21" s="4" t="s">
        <x:v>415</x:v>
      </x:c>
      <x:c r="G21" s="4" t="s">
        <x:v>416</x:v>
      </x:c>
    </x:row>
    <x:row r="22" ht="72" customHeight="1">
      <x:c r="A22" s="1" t="s">
        <x:v>203</x:v>
      </x:c>
      <x:c r="B22" s="4" t="s">
        <x:v>417</x:v>
      </x:c>
      <x:c r="C22" s="4" t="s">
        <x:v>418</x:v>
      </x:c>
      <x:c r="D22" s="4" t="s">
        <x:v>419</x:v>
      </x:c>
      <x:c r="E22" s="4" t="s">
        <x:v>420</x:v>
      </x:c>
      <x:c r="F22" s="4" t="s">
        <x:v>421</x:v>
      </x:c>
      <x:c r="G22" s="4" t="s">
        <x:v>422</x:v>
      </x:c>
    </x:row>
    <x:row r="23" ht="72" customHeight="1">
      <x:c r="A23" s="1" t="s">
        <x:v>209</x:v>
      </x:c>
      <x:c r="B23" s="4" t="s">
        <x:v>423</x:v>
      </x:c>
      <x:c r="C23" s="4" t="s">
        <x:v>424</x:v>
      </x:c>
      <x:c r="D23" s="4" t="s">
        <x:v>425</x:v>
      </x:c>
      <x:c r="E23" s="4" t="s">
        <x:v>426</x:v>
      </x:c>
      <x:c r="F23" s="4" t="s">
        <x:v>427</x:v>
      </x:c>
      <x:c r="G23" s="4" t="s">
        <x:v>428</x:v>
      </x:c>
    </x:row>
    <x:row r="24" ht="72" customHeight="1">
      <x:c r="A24" s="1" t="s">
        <x:v>217</x:v>
      </x:c>
      <x:c r="B24" s="4" t="s">
        <x:v>429</x:v>
      </x:c>
      <x:c r="C24" s="4" t="s">
        <x:v>430</x:v>
      </x:c>
      <x:c r="D24" s="4" t="s">
        <x:v>431</x:v>
      </x:c>
      <x:c r="E24" s="4" t="s">
        <x:v>432</x:v>
      </x:c>
      <x:c r="F24" s="4" t="s">
        <x:v>433</x:v>
      </x:c>
      <x:c r="G24" s="4" t="s">
        <x:v>434</x:v>
      </x:c>
    </x:row>
    <x:row r="25" ht="72" customHeight="1">
      <x:c r="A25" s="1" t="s">
        <x:v>231</x:v>
      </x:c>
      <x:c r="B25" s="4" t="s">
        <x:v>435</x:v>
      </x:c>
      <x:c r="C25" s="4" t="s">
        <x:v>436</x:v>
      </x:c>
      <x:c r="D25" s="4" t="s">
        <x:v>437</x:v>
      </x:c>
      <x:c r="E25" s="4" t="s">
        <x:v>438</x:v>
      </x:c>
      <x:c r="F25" s="4" t="s">
        <x:v>439</x:v>
      </x:c>
      <x:c r="G25" s="4" t="s">
        <x:v>440</x:v>
      </x:c>
    </x:row>
    <x:row r="26" ht="72" customHeight="1">
      <x:c r="A26" s="1" t="s">
        <x:v>243</x:v>
      </x:c>
      <x:c r="B26" s="4" t="s">
        <x:v>441</x:v>
      </x:c>
      <x:c r="C26" s="4" t="s">
        <x:v>442</x:v>
      </x:c>
      <x:c r="D26" s="4" t="s">
        <x:v>443</x:v>
      </x:c>
      <x:c r="E26" s="4" t="s">
        <x:v>444</x:v>
      </x:c>
      <x:c r="F26" s="4" t="s">
        <x:v>445</x:v>
      </x:c>
      <x:c r="G26" s="4" t="s">
        <x:v>446</x:v>
      </x:c>
    </x:row>
    <x:row r="27" ht="72" customHeight="1">
      <x:c r="A27" s="1" t="s">
        <x:v>250</x:v>
      </x:c>
      <x:c r="B27" s="4" t="s">
        <x:v>447</x:v>
      </x:c>
      <x:c r="C27" s="4" t="s">
        <x:v>448</x:v>
      </x:c>
      <x:c r="D27" s="4" t="s">
        <x:v>449</x:v>
      </x:c>
      <x:c r="E27" s="4" t="s">
        <x:v>450</x:v>
      </x:c>
      <x:c r="F27" s="4" t="s">
        <x:v>451</x:v>
      </x:c>
      <x:c r="G27" s="4" t="s">
        <x:v>452</x:v>
      </x:c>
    </x:row>
    <x:row r="28" ht="72" customHeight="1">
      <x:c r="A28" s="1" t="s">
        <x:v>267</x:v>
      </x:c>
      <x:c r="B28" s="4" t="s">
        <x:v>453</x:v>
      </x:c>
      <x:c r="C28" s="4" t="s">
        <x:v>454</x:v>
      </x:c>
      <x:c r="D28" s="4" t="s">
        <x:v>455</x:v>
      </x:c>
      <x:c r="E28" s="4" t="s">
        <x:v>456</x:v>
      </x:c>
      <x:c r="F28" s="4" t="s">
        <x:v>457</x:v>
      </x:c>
      <x:c r="G28" s="4" t="s">
        <x:v>458</x:v>
      </x:c>
    </x:row>
    <x:row r="29" ht="72" customHeight="1">
      <x:c r="A29" s="1" t="s">
        <x:v>177</x:v>
      </x:c>
      <x:c r="B29" s="4" t="s">
        <x:v>459</x:v>
      </x:c>
      <x:c r="C29" s="4" t="s">
        <x:v>460</x:v>
      </x:c>
      <x:c r="D29" s="4" t="s">
        <x:v>461</x:v>
      </x:c>
      <x:c r="E29" s="4" t="s">
        <x:v>462</x:v>
      </x:c>
      <x:c r="F29" s="4" t="s">
        <x:v>463</x:v>
      </x:c>
      <x:c r="G29" s="4" t="s">
        <x:v>464</x:v>
      </x:c>
    </x:row>
    <x:row r="30" ht="72" customHeight="1">
      <x:c r="A30" s="1" t="s">
        <x:v>183</x:v>
      </x:c>
      <x:c r="B30" s="4" t="s">
        <x:v>465</x:v>
      </x:c>
      <x:c r="C30" s="4" t="s">
        <x:v>466</x:v>
      </x:c>
      <x:c r="D30" s="4" t="s">
        <x:v>467</x:v>
      </x:c>
      <x:c r="E30" s="4" t="s">
        <x:v>468</x:v>
      </x:c>
      <x:c r="F30" s="4" t="s">
        <x:v>469</x:v>
      </x:c>
      <x:c r="G30" s="4" t="s">
        <x:v>470</x:v>
      </x:c>
    </x:row>
    <x:row r="31" ht="72" customHeight="1">
      <x:c r="A31" s="1" t="s">
        <x:v>310</x:v>
      </x:c>
      <x:c r="B31" s="4" t="s">
        <x:v>471</x:v>
      </x:c>
      <x:c r="C31" s="4" t="s">
        <x:v>472</x:v>
      </x:c>
      <x:c r="D31" s="4" t="s">
        <x:v>473</x:v>
      </x:c>
      <x:c r="E31" s="4" t="s">
        <x:v>474</x:v>
      </x:c>
      <x:c r="F31" s="4" t="s">
        <x:v>475</x:v>
      </x:c>
      <x:c r="G31" s="4" t="s">
        <x:v>476</x:v>
      </x:c>
    </x:row>
    <x:row r="32" ht="72" customHeight="1">
      <x:c r="A32" s="1" t="s">
        <x:v>317</x:v>
      </x:c>
      <x:c r="B32" s="4" t="s">
        <x:v>477</x:v>
      </x:c>
      <x:c r="C32" s="4" t="s">
        <x:v>478</x:v>
      </x:c>
      <x:c r="D32" s="4" t="s">
        <x:v>479</x:v>
      </x:c>
      <x:c r="E32" s="4" t="s">
        <x:v>480</x:v>
      </x:c>
      <x:c r="F32" s="4" t="s">
        <x:v>481</x:v>
      </x:c>
      <x:c r="G32" s="4" t="s">
        <x:v>398</x:v>
      </x:c>
    </x:row>
  </x:sheetData>
  <x:mergeCells>
    <x:mergeCell ref="A1:G2"/>
    <x:mergeCell ref="A3:G4"/>
  </x:mergeCells>
  <x:pageMargins left="0.7" right="0.7" top="0.75" bottom="0.75" header="0.3" footer="0.3"/>
  <x:tableParts count="1">
    <x:tablePart xmlns:r="http://schemas.openxmlformats.org/officeDocument/2006/relationships" r:id="Reaf87106c8074259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4.25"/>
  <x:cols>
    <x:col min="1" max="1" width="14" customWidth="1"/>
    <x:col min="2" max="2" width="31" customWidth="1"/>
    <x:col min="3" max="3" width="18" customWidth="1"/>
    <x:col min="4" max="4" width="15" customWidth="1"/>
    <x:col min="5" max="5" width="24" customWidth="1"/>
    <x:col min="6" max="6" width="32" customWidth="1"/>
    <x:col min="7" max="7" width="45" customWidth="1"/>
    <x:col min="8" max="8" width="43" customWidth="1"/>
  </x:cols>
  <x:sheetData>
    <x:row r="1" ht="36" customHeight="1">
      <x:c r="A1" s="62" t="s">
        <x:v>482</x:v>
      </x:c>
      <x:c r="B1" s="62"/>
      <x:c r="C1" s="62"/>
      <x:c r="D1" s="62"/>
      <x:c r="E1" s="62"/>
      <x:c r="F1" s="62"/>
      <x:c r="G1" s="62"/>
      <x:c r="H1" s="62"/>
    </x:row>
    <x:row r="2">
      <x:c r="A2" s="10"/>
      <x:c r="B2" s="10"/>
      <x:c r="C2" s="10"/>
      <x:c r="D2" s="10"/>
      <x:c r="E2" s="10"/>
      <x:c r="F2" s="10"/>
      <x:c r="G2" s="10"/>
      <x:c r="H2" s="10"/>
    </x:row>
    <x:row r="3" ht="32.099998474121094" customHeight="1">
      <x:c r="A3" s="63" t="s">
        <x:v>483</x:v>
      </x:c>
      <x:c r="B3" s="63"/>
      <x:c r="C3" s="63"/>
      <x:c r="D3" s="63"/>
      <x:c r="E3" s="63"/>
      <x:c r="F3" s="63"/>
      <x:c r="G3" s="63"/>
      <x:c r="H3" s="63"/>
    </x:row>
    <x:row r="4">
      <x:c r="A4" s="10"/>
      <x:c r="B4" s="10"/>
      <x:c r="C4" s="10"/>
      <x:c r="D4" s="10"/>
      <x:c r="E4" s="10"/>
      <x:c r="F4" s="10"/>
      <x:c r="G4" s="10"/>
      <x:c r="H4" s="10"/>
    </x:row>
    <x:row r="5" ht="15.75">
      <x:c r="A5" s="64" t="s">
        <x:v>484</x:v>
      </x:c>
      <x:c r="B5" s="64"/>
      <x:c r="C5" s="64"/>
      <x:c r="D5" s="64"/>
      <x:c r="E5" s="64"/>
      <x:c r="F5" s="64"/>
      <x:c r="G5" s="64"/>
      <x:c r="H5" s="64"/>
    </x:row>
    <x:row r="6">
      <x:c r="A6" s="14" t="s">
        <x:v>37</x:v>
      </x:c>
      <x:c r="B6" s="14" t="s">
        <x:v>485</x:v>
      </x:c>
      <x:c r="C6" s="14" t="s">
        <x:v>486</x:v>
      </x:c>
      <x:c r="D6" s="14" t="s">
        <x:v>487</x:v>
      </x:c>
      <x:c r="E6" s="14" t="s">
        <x:v>488</x:v>
      </x:c>
      <x:c r="F6" s="14" t="s">
        <x:v>489</x:v>
      </x:c>
      <x:c r="G6" s="14" t="s">
        <x:v>490</x:v>
      </x:c>
      <x:c r="H6" s="14" t="s">
        <x:v>491</x:v>
      </x:c>
    </x:row>
    <x:row r="7" ht="63.95000076293945" customHeight="1">
      <x:c r="A7" s="11" t="s">
        <x:v>224</x:v>
      </x:c>
      <x:c r="B7" s="11" t="s">
        <x:v>492</x:v>
      </x:c>
      <x:c r="C7" s="11">
        <x:v>3</x:v>
      </x:c>
      <x:c r="D7" s="11" t="s">
        <x:v>493</x:v>
      </x:c>
      <x:c r="E7" s="11" t="s">
        <x:v>494</x:v>
      </x:c>
      <x:c r="F7" s="11" t="s">
        <x:v>495</x:v>
      </x:c>
      <x:c r="G7" s="11" t="s">
        <x:v>229</x:v>
      </x:c>
      <x:c r="H7" s="11" t="s">
        <x:v>496</x:v>
      </x:c>
    </x:row>
    <x:row r="8" ht="63.95000076293945" customHeight="1">
      <x:c r="A8" s="11" t="s">
        <x:v>232</x:v>
      </x:c>
      <x:c r="B8" s="11" t="s">
        <x:v>497</x:v>
      </x:c>
      <x:c r="C8" s="11">
        <x:v>2</x:v>
      </x:c>
      <x:c r="D8" s="11" t="s">
        <x:v>493</x:v>
      </x:c>
      <x:c r="E8" s="11" t="s">
        <x:v>498</x:v>
      </x:c>
      <x:c r="F8" s="11" t="s">
        <x:v>499</x:v>
      </x:c>
      <x:c r="G8" s="11" t="s">
        <x:v>236</x:v>
      </x:c>
      <x:c r="H8" s="11" t="s">
        <x:v>500</x:v>
      </x:c>
    </x:row>
    <x:row r="9">
      <x:c r="A9" s="10"/>
      <x:c r="B9" s="10"/>
      <x:c r="C9" s="10"/>
      <x:c r="D9" s="10"/>
      <x:c r="E9" s="10"/>
      <x:c r="F9" s="10"/>
      <x:c r="G9" s="10"/>
      <x:c r="H9" s="10"/>
    </x:row>
    <x:row r="10">
      <x:c r="A10" s="10"/>
      <x:c r="B10" s="10"/>
      <x:c r="C10" s="10"/>
      <x:c r="D10" s="10"/>
      <x:c r="E10" s="10"/>
      <x:c r="F10" s="10"/>
      <x:c r="G10" s="10"/>
      <x:c r="H10" s="10"/>
    </x:row>
    <x:row r="11" ht="15.75">
      <x:c r="A11" s="64" t="s">
        <x:v>501</x:v>
      </x:c>
      <x:c r="B11" s="64"/>
      <x:c r="C11" s="64"/>
      <x:c r="D11" s="64"/>
      <x:c r="E11" s="64"/>
      <x:c r="F11" s="64"/>
      <x:c r="G11" s="64"/>
      <x:c r="H11" s="64"/>
    </x:row>
    <x:row r="12" ht="25.5">
      <x:c r="A12" s="14" t="s">
        <x:v>502</x:v>
      </x:c>
      <x:c r="B12" s="14" t="s">
        <x:v>503</x:v>
      </x:c>
      <x:c r="C12" s="14" t="s">
        <x:v>504</x:v>
      </x:c>
      <x:c r="D12" s="14" t="s">
        <x:v>505</x:v>
      </x:c>
      <x:c r="E12" s="14" t="s">
        <x:v>506</x:v>
      </x:c>
      <x:c r="F12" s="14" t="s">
        <x:v>507</x:v>
      </x:c>
      <x:c r="G12" s="14" t="s">
        <x:v>508</x:v>
      </x:c>
      <x:c r="H12" s="14" t="s">
        <x:v>509</x:v>
      </x:c>
    </x:row>
    <x:row r="13" ht="57.95000076293945" customHeight="1">
      <x:c r="A13" s="11" t="s">
        <x:v>510</x:v>
      </x:c>
      <x:c r="B13" s="11" t="s">
        <x:v>511</x:v>
      </x:c>
      <x:c r="C13" s="11" t="s">
        <x:v>512</x:v>
      </x:c>
      <x:c r="D13" s="11">
        <x:v>2</x:v>
      </x:c>
      <x:c r="E13" s="11" t="s">
        <x:v>513</x:v>
      </x:c>
      <x:c r="F13" s="11" t="s">
        <x:v>514</x:v>
      </x:c>
      <x:c r="G13" s="11" t="s">
        <x:v>515</x:v>
      </x:c>
      <x:c r="H13" s="11" t="s">
        <x:v>516</x:v>
      </x:c>
    </x:row>
    <x:row r="14" ht="57.95000076293945" customHeight="1">
      <x:c r="A14" s="11" t="s">
        <x:v>517</x:v>
      </x:c>
      <x:c r="B14" s="11" t="s">
        <x:v>518</x:v>
      </x:c>
      <x:c r="C14" s="11" t="s">
        <x:v>519</x:v>
      </x:c>
      <x:c r="D14" s="11">
        <x:v>2</x:v>
      </x:c>
      <x:c r="E14" s="11" t="s">
        <x:v>513</x:v>
      </x:c>
      <x:c r="F14" s="11" t="s">
        <x:v>514</x:v>
      </x:c>
      <x:c r="G14" s="11" t="s">
        <x:v>520</x:v>
      </x:c>
      <x:c r="H14" s="11" t="s">
        <x:v>521</x:v>
      </x:c>
    </x:row>
    <x:row r="15" ht="57.95000076293945" customHeight="1">
      <x:c r="A15" s="11" t="s">
        <x:v>522</x:v>
      </x:c>
      <x:c r="B15" s="11" t="s">
        <x:v>523</x:v>
      </x:c>
      <x:c r="C15" s="11" t="s">
        <x:v>524</x:v>
      </x:c>
      <x:c r="D15" s="11">
        <x:v>3</x:v>
      </x:c>
      <x:c r="E15" s="11" t="s">
        <x:v>525</x:v>
      </x:c>
      <x:c r="F15" s="11" t="s">
        <x:v>526</x:v>
      </x:c>
      <x:c r="G15" s="11" t="s">
        <x:v>527</x:v>
      </x:c>
      <x:c r="H15" s="11" t="s">
        <x:v>528</x:v>
      </x:c>
    </x:row>
    <x:row r="16" ht="57.95000076293945" customHeight="1">
      <x:c r="A16" s="11" t="s">
        <x:v>529</x:v>
      </x:c>
      <x:c r="B16" s="11" t="s">
        <x:v>530</x:v>
      </x:c>
      <x:c r="C16" s="11" t="s">
        <x:v>531</x:v>
      </x:c>
      <x:c r="D16" s="11">
        <x:v>2</x:v>
      </x:c>
      <x:c r="E16" s="11" t="s">
        <x:v>525</x:v>
      </x:c>
      <x:c r="F16" s="11" t="s">
        <x:v>532</x:v>
      </x:c>
      <x:c r="G16" s="11" t="s">
        <x:v>533</x:v>
      </x:c>
      <x:c r="H16" s="11" t="s">
        <x:v>534</x:v>
      </x:c>
    </x:row>
    <x:row r="17" ht="57.95000076293945" customHeight="1">
      <x:c r="A17" s="11" t="s">
        <x:v>535</x:v>
      </x:c>
      <x:c r="B17" s="11" t="s">
        <x:v>530</x:v>
      </x:c>
      <x:c r="C17" s="11" t="s">
        <x:v>536</x:v>
      </x:c>
      <x:c r="D17" s="11">
        <x:v>2</x:v>
      </x:c>
      <x:c r="E17" s="11" t="s">
        <x:v>525</x:v>
      </x:c>
      <x:c r="F17" s="11" t="s">
        <x:v>537</x:v>
      </x:c>
      <x:c r="G17" s="11" t="s">
        <x:v>533</x:v>
      </x:c>
      <x:c r="H17" s="11" t="s">
        <x:v>538</x:v>
      </x:c>
    </x:row>
    <x:row r="18" ht="57.95000076293945" customHeight="1">
      <x:c r="A18" s="11" t="s">
        <x:v>539</x:v>
      </x:c>
      <x:c r="B18" s="11" t="s">
        <x:v>540</x:v>
      </x:c>
      <x:c r="C18" s="11" t="s">
        <x:v>541</x:v>
      </x:c>
      <x:c r="D18" s="11">
        <x:v>4</x:v>
      </x:c>
      <x:c r="E18" s="11" t="s">
        <x:v>525</x:v>
      </x:c>
      <x:c r="F18" s="11" t="s">
        <x:v>542</x:v>
      </x:c>
      <x:c r="G18" s="11" t="s">
        <x:v>543</x:v>
      </x:c>
      <x:c r="H18" s="11" t="s">
        <x:v>544</x:v>
      </x:c>
    </x:row>
    <x:row r="19" ht="57.95000076293945" customHeight="1">
      <x:c r="A19" s="11" t="s">
        <x:v>545</x:v>
      </x:c>
      <x:c r="B19" s="11" t="s">
        <x:v>546</x:v>
      </x:c>
      <x:c r="C19" s="11" t="s">
        <x:v>547</x:v>
      </x:c>
      <x:c r="D19" s="11">
        <x:v>3</x:v>
      </x:c>
      <x:c r="E19" s="11" t="s">
        <x:v>548</x:v>
      </x:c>
      <x:c r="F19" s="11" t="s">
        <x:v>549</x:v>
      </x:c>
      <x:c r="G19" s="11" t="s">
        <x:v>550</x:v>
      </x:c>
      <x:c r="H19" s="11" t="s">
        <x:v>551</x:v>
      </x:c>
    </x:row>
    <x:row r="20" ht="57.95000076293945" customHeight="1">
      <x:c r="A20" s="11" t="s">
        <x:v>552</x:v>
      </x:c>
      <x:c r="B20" s="11" t="s">
        <x:v>553</x:v>
      </x:c>
      <x:c r="C20" s="11" t="s">
        <x:v>554</x:v>
      </x:c>
      <x:c r="D20" s="11">
        <x:v>2</x:v>
      </x:c>
      <x:c r="E20" s="11" t="s">
        <x:v>513</x:v>
      </x:c>
      <x:c r="F20" s="11" t="s">
        <x:v>555</x:v>
      </x:c>
      <x:c r="G20" s="11" t="s">
        <x:v>556</x:v>
      </x:c>
      <x:c r="H20" s="11" t="s">
        <x:v>557</x:v>
      </x:c>
    </x:row>
    <x:row r="21" ht="57.95000076293945" customHeight="1">
      <x:c r="A21" s="11" t="s">
        <x:v>558</x:v>
      </x:c>
      <x:c r="B21" s="11" t="s">
        <x:v>559</x:v>
      </x:c>
      <x:c r="C21" s="11" t="s">
        <x:v>560</x:v>
      </x:c>
      <x:c r="D21" s="11">
        <x:v>1</x:v>
      </x:c>
      <x:c r="E21" s="11" t="s">
        <x:v>561</x:v>
      </x:c>
      <x:c r="F21" s="11" t="s">
        <x:v>562</x:v>
      </x:c>
      <x:c r="G21" s="11" t="s">
        <x:v>563</x:v>
      </x:c>
      <x:c r="H21" s="11" t="s">
        <x:v>564</x:v>
      </x:c>
    </x:row>
    <x:row r="22">
      <x:c r="A22" s="10"/>
      <x:c r="B22" s="10"/>
      <x:c r="C22" s="10"/>
      <x:c r="D22" s="10"/>
      <x:c r="E22" s="10"/>
      <x:c r="F22" s="10"/>
      <x:c r="G22" s="10"/>
      <x:c r="H22" s="10"/>
    </x:row>
    <x:row r="23">
      <x:c r="A23" s="10"/>
      <x:c r="B23" s="10"/>
      <x:c r="C23" s="10"/>
      <x:c r="D23" s="10"/>
      <x:c r="E23" s="10"/>
      <x:c r="F23" s="10"/>
      <x:c r="G23" s="10"/>
      <x:c r="H23" s="10"/>
    </x:row>
    <x:row r="24" ht="15.75">
      <x:c r="A24" s="64" t="s">
        <x:v>565</x:v>
      </x:c>
      <x:c r="B24" s="64"/>
      <x:c r="C24" s="10"/>
      <x:c r="D24" s="64" t="s">
        <x:v>566</x:v>
      </x:c>
      <x:c r="E24" s="64"/>
      <x:c r="F24" s="64"/>
      <x:c r="G24" s="64"/>
      <x:c r="H24" s="64"/>
    </x:row>
    <x:row r="25">
      <x:c r="A25" s="15" t="s">
        <x:v>567</x:v>
      </x:c>
      <x:c r="B25" s="15" t="s">
        <x:v>568</x:v>
      </x:c>
      <x:c r="C25" s="10"/>
      <x:c r="D25" s="14" t="s">
        <x:v>569</x:v>
      </x:c>
      <x:c r="E25" s="14" t="s">
        <x:v>570</x:v>
      </x:c>
      <x:c r="F25" s="14" t="s">
        <x:v>571</x:v>
      </x:c>
      <x:c r="G25" s="14" t="s">
        <x:v>572</x:v>
      </x:c>
      <x:c r="H25" s="14" t="s">
        <x:v>573</x:v>
      </x:c>
    </x:row>
    <x:row r="26" ht="45" customHeight="1">
      <x:c r="A26" s="16">
        <x:v>1</x:v>
      </x:c>
      <x:c r="B26" s="11" t="s">
        <x:v>574</x:v>
      </x:c>
      <x:c r="C26" s="10"/>
      <x:c r="D26" s="11" t="s">
        <x:v>575</x:v>
      </x:c>
      <x:c r="E26" s="11" t="s">
        <x:v>576</x:v>
      </x:c>
      <x:c r="F26" s="11" t="s">
        <x:v>577</x:v>
      </x:c>
      <x:c r="G26" s="11" t="s">
        <x:v>578</x:v>
      </x:c>
      <x:c r="H26" s="11" t="s">
        <x:v>579</x:v>
      </x:c>
    </x:row>
    <x:row r="27" ht="45" customHeight="1">
      <x:c r="A27" s="16">
        <x:v>2</x:v>
      </x:c>
      <x:c r="B27" s="11" t="s">
        <x:v>580</x:v>
      </x:c>
      <x:c r="C27" s="10"/>
      <x:c r="D27" s="11" t="s">
        <x:v>581</x:v>
      </x:c>
      <x:c r="E27" s="11" t="s">
        <x:v>576</x:v>
      </x:c>
      <x:c r="F27" s="11" t="s">
        <x:v>582</x:v>
      </x:c>
      <x:c r="G27" s="11" t="s">
        <x:v>583</x:v>
      </x:c>
      <x:c r="H27" s="11" t="s">
        <x:v>584</x:v>
      </x:c>
    </x:row>
    <x:row r="28" ht="45" customHeight="1">
      <x:c r="A28" s="16">
        <x:v>3</x:v>
      </x:c>
      <x:c r="B28" s="11" t="s">
        <x:v>585</x:v>
      </x:c>
      <x:c r="C28" s="10"/>
      <x:c r="D28" s="11" t="s">
        <x:v>586</x:v>
      </x:c>
      <x:c r="E28" s="11" t="s">
        <x:v>587</x:v>
      </x:c>
      <x:c r="F28" s="11" t="s">
        <x:v>588</x:v>
      </x:c>
      <x:c r="G28" s="11" t="s">
        <x:v>589</x:v>
      </x:c>
      <x:c r="H28" s="11" t="s">
        <x:v>590</x:v>
      </x:c>
    </x:row>
    <x:row r="29" ht="45" customHeight="1">
      <x:c r="A29" s="16">
        <x:v>4</x:v>
      </x:c>
      <x:c r="B29" s="11" t="s">
        <x:v>591</x:v>
      </x:c>
      <x:c r="C29" s="10"/>
      <x:c r="D29" s="11" t="s">
        <x:v>592</x:v>
      </x:c>
      <x:c r="E29" s="11" t="s">
        <x:v>587</x:v>
      </x:c>
      <x:c r="F29" s="11" t="s">
        <x:v>593</x:v>
      </x:c>
      <x:c r="G29" s="11" t="s">
        <x:v>594</x:v>
      </x:c>
      <x:c r="H29" s="11" t="s">
        <x:v>595</x:v>
      </x:c>
    </x:row>
    <x:row r="30" ht="33.95000076293945" customHeight="1">
      <x:c r="A30" s="16">
        <x:v>5</x:v>
      </x:c>
      <x:c r="B30" s="11" t="s">
        <x:v>596</x:v>
      </x:c>
      <x:c r="C30" s="10"/>
      <x:c r="D30" s="10"/>
      <x:c r="E30" s="10"/>
      <x:c r="F30" s="10"/>
      <x:c r="G30" s="10"/>
      <x:c r="H30" s="10"/>
    </x:row>
    <x:row r="31" ht="33.95000076293945" customHeight="1">
      <x:c r="A31" s="16">
        <x:v>6</x:v>
      </x:c>
      <x:c r="B31" s="11" t="s">
        <x:v>597</x:v>
      </x:c>
      <x:c r="C31" s="10"/>
      <x:c r="D31" s="56" t="s">
        <x:v>598</x:v>
      </x:c>
      <x:c r="E31" s="57"/>
      <x:c r="F31" s="57"/>
      <x:c r="G31" s="57"/>
      <x:c r="H31" s="58"/>
    </x:row>
    <x:row r="32" ht="33.95000076293945" customHeight="1">
      <x:c r="A32" s="17">
        <x:v>7</x:v>
      </x:c>
      <x:c r="B32" s="12" t="s">
        <x:v>599</x:v>
      </x:c>
      <x:c r="C32" s="13"/>
      <x:c r="D32" s="59"/>
      <x:c r="E32" s="60"/>
      <x:c r="F32" s="60"/>
      <x:c r="G32" s="60"/>
      <x:c r="H32" s="61"/>
    </x:row>
  </x:sheetData>
  <x:mergeCells>
    <x:mergeCell ref="D31:H32"/>
    <x:mergeCell ref="A1:H1"/>
    <x:mergeCell ref="A3:H3"/>
    <x:mergeCell ref="A5:H5"/>
    <x:mergeCell ref="A11:H11"/>
    <x:mergeCell ref="A24:B24"/>
    <x:mergeCell ref="D24:H24"/>
  </x:mergeCells>
  <x:pageMargins left="0.7" right="0.7" top="0.75" bottom="0.75" header="0.3" footer="0.3"/>
  <x:tableParts count="2">
    <x:tablePart xmlns:r="http://schemas.openxmlformats.org/officeDocument/2006/relationships" r:id="R26d9985ed2c644a9"/>
    <x:tablePart xmlns:r="http://schemas.openxmlformats.org/officeDocument/2006/relationships" r:id="Read6e8ffe49844cf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95" hidden="0" customWidth="1"/>
    <x:col min="3" max="3" width="95" hidden="0" customWidth="1"/>
  </x:cols>
  <x:sheetData>
    <x:row r="1" ht="36" customHeight="1">
      <x:c r="A1" s="69" t="str">
        <x:v>Topic</x:v>
      </x:c>
      <x:c r="B1" s="69" t="str">
        <x:v>Current interpretation</x:v>
      </x:c>
      <x:c r="C1" s="69" t="str">
        <x:v>Next evidence</x:v>
      </x:c>
    </x:row>
    <x:row r="2" ht="70" customHeight="1">
      <x:c r="A2" s="67" t="str">
        <x:v>Release</x:v>
      </x:c>
      <x:c r="B2" s="67" t="str">
        <x:v>Documentation 2.0 / source 1.4.2. Original BOM sheets retained.</x:v>
      </x:c>
      <x:c r="C2" s="67" t="str">
        <x:v>Recheck purchasing rows against the actual board revision before ordering.</x:v>
      </x:c>
    </x:row>
    <x:row r="3" ht="70" customHeight="1">
      <x:c r="A3" s="67" t="str">
        <x:v>Immediate kit</x:v>
      </x:c>
      <x:c r="B3" s="67" t="str">
        <x:v>Base: one DevKit V1 hub and four C3 nodes with PIR/reed/button inputs as selected.</x:v>
      </x:c>
      <x:c r="C3" s="67" t="str">
        <x:v>One-node bench validation before cloning four identities.</x:v>
      </x:c>
    </x:row>
    <x:row r="4" ht="70" customHeight="1">
      <x:c r="A4" s="67" t="str">
        <x:v>Price and availability</x:v>
      </x:c>
      <x:c r="B4" s="67" t="str">
        <x:v>All original supplier prices/links remain historical. They were not rechecked in this documentation task.</x:v>
      </x:c>
      <x:c r="C4" s="67" t="str">
        <x:v>Verify local tax, shipping and stock at purchase time.</x:v>
      </x:c>
    </x:row>
    <x:row r="5" ht="70" customHeight="1">
      <x:c r="A5" s="67" t="str">
        <x:v>Commercial alternative</x:v>
      </x:c>
      <x:c r="B5" s="67" t="str">
        <x:v>A candidate module is not an approved or certified complete product.</x:v>
      </x:c>
      <x:c r="C5" s="67" t="str">
        <x:v>Qualify exact regulator/charger/protection, load sharing, switch-over and enclosure.</x:v>
      </x:c>
    </x:row>
    <x:row r="6" ht="70" customHeight="1">
      <x:c r="A6" s="67" t="str">
        <x:v>Node power</x:v>
      </x:c>
      <x:c r="B6" s="67" t="str">
        <x:v>Prototype battery choice does not establish runtime. Board LEDs/regulators and heartbeat policy affect current.</x:v>
      </x:c>
      <x:c r="C6" s="67" t="str">
        <x:v>Measure sleep, sensing, TX/retry and idle current on the assembled node.</x:v>
      </x:c>
    </x:row>
    <x:row r="7" ht="70" customHeight="1">
      <x:c r="A7" s="67" t="str">
        <x:v>Hub and router</x:v>
      </x:c>
      <x:c r="B7" s="67" t="str">
        <x:v>Hub backup alone cannot keep remote notifications working if router/internet loses power.</x:v>
      </x:c>
      <x:c r="C7" s="67" t="str">
        <x:v>Test mains, router and WAN failures separately.</x:v>
      </x:c>
    </x:row>
    <x:row r="8" ht="70" customHeight="1">
      <x:c r="A8" s="67" t="str">
        <x:v>PIR placement</x:v>
      </x:c>
      <x:c r="B8" s="67" t="str">
        <x:v>Crossing-path movement is the observable signal. No identity, direction, occupancy or cooking inference.</x:v>
      </x:c>
      <x:c r="C8" s="67" t="str">
        <x:v>Walk tests and labelled shadow days for each actual mounting location.</x:v>
      </x:c>
    </x:row>
    <x:row r="9" ht="70" customHeight="1">
      <x:c r="A9" s="67" t="str">
        <x:v>Resident controls</x:v>
      </x:c>
      <x:c r="B9" s="67" t="str">
        <x:v>A high-mounted PIR should not place OK/Call/privacy controls out of reach.</x:v>
      </x:c>
      <x:c r="C9" s="67" t="str">
        <x:v>Separate reachable controls or qualified wiring with strain relief.</x:v>
      </x:c>
    </x:row>
    <x:row r="10" ht="70" customHeight="1">
      <x:c r="A10" s="67" t="str">
        <x:v>Wiring record</x:v>
      </x:c>
      <x:c r="B10" s="67" t="str">
        <x:v>Use the original wire/assembly tabs as the purchasing record; validate current, length and mechanical protection.</x:v>
      </x:c>
      <x:c r="C10" s="67" t="str">
        <x:v>Continuity/polarity and secure mounting before battery connection.</x:v>
      </x:c>
    </x:row>
    <x:row r="11" ht="70" customHeight="1">
      <x:c r="A11" s="67" t="str">
        <x:v>Future AI</x:v>
      </x:c>
      <x:c r="B11" s="67" t="str">
        <x:v>Microphone, amplifier/speaker, audio-capable hub and provider are future scope, not required Base purchases.</x:v>
      </x:c>
      <x:c r="C11" s="67" t="str">
        <x:v>Audio budget, consent, cancellation and provider-cost validation later.</x:v>
      </x:c>
    </x:row>
    <x:row r="12" ht="70" customHeight="1">
      <x:c r="A12" s="67" t="str">
        <x:v>Excluded claims</x:v>
      </x:c>
      <x:c r="B12" s="67" t="str">
        <x:v>P0 is not fall detection, fire detection, medical monitoring or professional emergency dispatch.</x:v>
      </x:c>
      <x:c r="C12" s="67" t="str">
        <x:v>A new feature needs a separate requirement and qualification plan.</x:v>
      </x:c>
    </x:row>
  </x:sheetData>
  <x:conditionalFormatting sqref="A2:C12">
    <x:cfRule type="cellIs" dxfId="3" priority="1" operator="equal">
      <x:formula>"Passed"</x:formula>
    </x:cfRule>
    <x:cfRule type="cellIs" dxfId="4" priority="2" operator="equal">
      <x:formula>"Documented"</x:formula>
    </x:cfRule>
    <x:cfRule type="cellIs" dxfId="5" priority="3" operator="equal">
      <x:formula>"Reference"</x:formula>
    </x:cfRule>
    <x:cfRule type="cellIs" dxfId="6" priority="4" operator="equal">
      <x:formula>"Planned"</x:formula>
    </x:cfRule>
    <x:cfRule type="cellIs" dxfId="7" priority="5" operator="equal">
      <x:formula>"Pending"</x:formula>
    </x:cfRule>
    <x:cfRule type="cellIs" dxfId="8" priority="6" operator="equal">
      <x:formula>"Partial"</x:formula>
    </x:cfRule>
    <x:cfRule type="cellIs" dxfId="9" priority="7" operator="equal">
      <x:formula>"Scaffold"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0f6502c45c804255"/>
  </x:tableParts>
</x:worksheet>
</file>