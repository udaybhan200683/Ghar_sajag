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230c37c6d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2826eca29a54066"/>
    <x:sheet xmlns:r="http://schemas.openxmlformats.org/officeDocument/2006/relationships" name="Master Test Register" sheetId="2" r:id="R382bb1fdd8844d53"/>
    <x:sheet xmlns:r="http://schemas.openxmlformats.org/officeDocument/2006/relationships" name="Functional Scenarios" sheetId="3" r:id="R89ba891899cc46b5"/>
    <x:sheet xmlns:r="http://schemas.openxmlformats.org/officeDocument/2006/relationships" name="Dummy Streams" sheetId="4" r:id="Re4c0b5366a154481"/>
    <x:sheet xmlns:r="http://schemas.openxmlformats.org/officeDocument/2006/relationships" name="Requirement Coverage" sheetId="5" r:id="R8f75ecf2f77f4aa8"/>
    <x:sheet xmlns:r="http://schemas.openxmlformats.org/officeDocument/2006/relationships" name="Release Gate" sheetId="6" r:id="R5ee6996a26f54f6b"/>
    <x:sheet xmlns:r="http://schemas.openxmlformats.org/officeDocument/2006/relationships" name="Manual UI Checks" sheetId="7" r:id="R7d3c40546b404e46"/>
    <x:sheet xmlns:r="http://schemas.openxmlformats.org/officeDocument/2006/relationships" name="Untested &amp; HIL" sheetId="8" r:id="R66460d58adb74ef7"/>
    <x:sheet xmlns:r="http://schemas.openxmlformats.org/officeDocument/2006/relationships" name="Diagnostic Matrix" sheetId="9" r:id="R59f53f0b7d46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F35"/>
      <x:name val="Carlito"/>
    </x:font>
    <x:font>
      <x:b/>
      <x:sz val="11"/>
      <x:name val="Carlito"/>
    </x:font>
    <x:font>
      <x:sz val="11"/>
      <x:color rgb="FF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6F5C"/>
      </x:patternFill>
    </x:fill>
    <x:fill>
      <x:patternFill patternType="solid">
        <x:fgColor rgb="FF173F35"/>
      </x:patternFill>
    </x:fill>
    <x:fill>
      <x:patternFill patternType="solid">
        <x:fgColor rgb="FFFFF4CE"/>
      </x:patternFill>
    </x:fill>
    <x:fill>
      <x:patternFill patternType="solid">
        <x:fgColor rgb="FFEAF4F0"/>
      </x:patternFill>
    </x:fill>
    <x:fill>
      <x:patternFill patternType="solid">
        <x:fgColor rgb="FFE2F0D9"/>
      </x:patternFill>
    </x:fill>
    <x:fill>
      <x:patternFill patternType="solid">
        <x:fgColor rgb="FFFDE9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 patternType="solid">
          <x:bgColor rgb="FFE2F0D9"/>
        </x:patternFill>
      </x:fill>
    </x:dxf>
    <x:dxf>
      <x:fill>
        <x:patternFill patternType="solid">
          <x:bgColor rgb="FFFDE9E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4CE"/>
        </x:patternFill>
      </x:fill>
    </x:dxf>
    <x:dxf>
      <x:fill>
        <x:patternFill patternType="solid">
          <x:bgColor rgb="FFFFF4CE"/>
        </x:patternFill>
      </x:fill>
    </x:dxf>
    <x:dxf>
      <x:fill>
        <x:patternFill patternType="solid">
          <x:bgColor rgb="FFFFF4CE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DE9E7"/>
        </x:patternFill>
      </x:fill>
    </x:dxf>
    <x:dxf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60f4152f24c6d" /><Relationship Type="http://schemas.openxmlformats.org/officeDocument/2006/relationships/theme" Target="/xl/theme/theme1.xml" Id="Ra1d78a76be0945a4" /><Relationship Type="http://schemas.microsoft.com/office/2022/11/relationships/FeaturePropertyBag" Target="/xl/featurePropertyBag/featurePropertyBag.xml" Id="Rcd2165b691cf4362" /><Relationship Type="http://schemas.openxmlformats.org/officeDocument/2006/relationships/sharedStrings" Target="/xl/sharedStrings.xml" Id="R9d5d3ef2656448a9" /><Relationship Type="http://schemas.openxmlformats.org/officeDocument/2006/relationships/worksheet" Target="/xl/worksheets/sheet1.xml" Id="Rc2826eca29a54066" /><Relationship Type="http://schemas.openxmlformats.org/officeDocument/2006/relationships/worksheet" Target="/xl/worksheets/sheet2.xml" Id="R382bb1fdd8844d53" /><Relationship Type="http://schemas.openxmlformats.org/officeDocument/2006/relationships/worksheet" Target="/xl/worksheets/sheet3.xml" Id="R89ba891899cc46b5" /><Relationship Type="http://schemas.openxmlformats.org/officeDocument/2006/relationships/worksheet" Target="/xl/worksheets/sheet4.xml" Id="Re4c0b5366a154481" /><Relationship Type="http://schemas.openxmlformats.org/officeDocument/2006/relationships/worksheet" Target="/xl/worksheets/sheet5.xml" Id="R8f75ecf2f77f4aa8" /><Relationship Type="http://schemas.openxmlformats.org/officeDocument/2006/relationships/worksheet" Target="/xl/worksheets/sheet6.xml" Id="R5ee6996a26f54f6b" /><Relationship Type="http://schemas.openxmlformats.org/officeDocument/2006/relationships/worksheet" Target="/xl/worksheets/sheet7.xml" Id="R7d3c40546b404e46" /><Relationship Type="http://schemas.openxmlformats.org/officeDocument/2006/relationships/worksheet" Target="/xl/worksheets/sheet8.xml" Id="R66460d58adb74ef7" /><Relationship Type="http://schemas.openxmlformats.org/officeDocument/2006/relationships/worksheet" Target="/xl/worksheets/sheet9.xml" Id="R59f53f0b7d464f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b39ac3b29340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Functional scenarios by category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Cases</c:v>
          </c:tx>
          <c:cat>
            <c:strRef>
              <c:f>'Dashboard'!$D$5:$D$13</c:f>
              <c:strCache>
                <c:ptCount val="0"/>
              </c:strCache>
            </c:strRef>
          </c:cat>
          <c:val>
            <c:numRef>
              <c:f>'Dashboard'!$E$5:$E$13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b39ac3b293400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8" name="MasterTestRegisterTable" displayName="MasterTestRegisterTable" ref="A1:O235" headerRowCount="1" totalsRowCount="0" totalsRowShown="0">
  <x:tableColumns count="15">
    <x:tableColumn id="1" name="Test ID"/>
    <x:tableColumn id="2" name="Layer"/>
    <x:tableColumn id="3" name="Category"/>
    <x:tableColumn id="4" name="Test / Scenario"/>
    <x:tableColumn id="5" name="Requirements"/>
    <x:tableColumn id="6" name="Input / Preconditions"/>
    <x:tableColumn id="7" name="Steps / Command"/>
    <x:tableColumn id="8" name="Expected Result"/>
    <x:tableColumn id="9" name="Automation"/>
    <x:tableColumn id="10" name="Current Status"/>
    <x:tableColumn id="11" name="Manual Result"/>
    <x:tableColumn id="12" name="Evidence / Source"/>
    <x:tableColumn id="13" name="Defect ID"/>
    <x:tableColumn id="14" name="Owner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FunctionalScenariosTable" displayName="FunctionalScenariosTable" ref="A1:M69" headerRowCount="1" totalsRowCount="0" totalsRowShown="0">
  <x:tableColumns count="13">
    <x:tableColumn id="1" name="Manual ID"/>
    <x:tableColumn id="2" name="Scenario ID"/>
    <x:tableColumn id="3" name="Category"/>
    <x:tableColumn id="4" name="Title"/>
    <x:tableColumn id="5" name="Requirements"/>
    <x:tableColumn id="6" name="Steps"/>
    <x:tableColumn id="7" name="Expected / Assertions"/>
    <x:tableColumn id="8" name="Automation"/>
    <x:tableColumn id="9" name="Release"/>
    <x:tableColumn id="10" name="Current Status"/>
    <x:tableColumn id="11" name="Manual Result"/>
    <x:tableColumn id="12" name="Defect ID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ummyStreamsTable" displayName="DummyStreamsTable" ref="A1:J6" headerRowCount="1" totalsRowCount="0" totalsRowShown="0">
  <x:tableColumns count="10">
    <x:tableColumn id="1" name="Test ID"/>
    <x:tableColumn id="2" name="Fixture"/>
    <x:tableColumn id="3" name="Scenario"/>
    <x:tableColumn id="4" name="Steps"/>
    <x:tableColumn id="5" name="Expected / Assertions"/>
    <x:tableColumn id="6" name="Automation"/>
    <x:tableColumn id="7" name="Release"/>
    <x:tableColumn id="8" name="Current Status"/>
    <x:tableColumn id="9" name="Manual Result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quirementCoverageTable" displayName="RequirementCoverageTable" ref="A1:G25" headerRowCount="1" totalsRowCount="0" totalsRowShown="0">
  <x:tableColumns count="7">
    <x:tableColumn id="1" name="Requirement"/>
    <x:tableColumn id="2" name="Automated Evidence"/>
    <x:tableColumn id="3" name="Manual Evidence"/>
    <x:tableColumn id="4" name="Hardware Pending"/>
    <x:tableColumn id="5" name="Coverage Status"/>
    <x:tableColumn id="6" name="Owner"/>
    <x:tableColumn id="7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eleaseGateTable" displayName="ReleaseGateTable" ref="A1:F15" headerRowCount="1" totalsRowCount="0" totalsRowShown="0">
  <x:tableColumns count="6">
    <x:tableColumn id="1" name="Stage"/>
    <x:tableColumn id="2" name="Status"/>
    <x:tableColumn id="3" name="Evidence"/>
    <x:tableColumn id="4" name="Mandatory"/>
    <x:tableColumn id="5" name="Command / Notes"/>
    <x:tableColumn id="6" name="Relea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ManualUIChecksTable" displayName="ManualUIChecksTable" ref="A1:G8" headerRowCount="1" totalsRowCount="0" totalsRowShown="0">
  <x:tableColumns count="7">
    <x:tableColumn id="1" name="Check ID"/>
    <x:tableColumn id="2" name="Manual Visual / Usability Check"/>
    <x:tableColumn id="3" name="Expected"/>
    <x:tableColumn id="4" name="Result"/>
    <x:tableColumn id="5" name="Defect ID"/>
    <x:tableColumn id="6" name="Evidence / Screenshot"/>
    <x:tableColumn id="7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UntestedHILTable" displayName="UntestedHILTable" ref="A1:I18" headerRowCount="1" totalsRowCount="0" totalsRowShown="0">
  <x:tableColumns count="9">
    <x:tableColumn id="1" name="Gap ID"/>
    <x:tableColumn id="2" name="Area"/>
    <x:tableColumn id="3" name="Gate Type"/>
    <x:tableColumn id="4" name="What is untested / must be validated"/>
    <x:tableColumn id="5" name="Target Gate"/>
    <x:tableColumn id="6" name="Current Status"/>
    <x:tableColumn id="7" name="Owner"/>
    <x:tableColumn id="8" name="Target Release"/>
    <x:tableColumn id="9" name="Evidence / 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DiagnosticMatrixTable" displayName="DiagnosticMatrixTable" ref="A1:H12" headerRowCount="1" totalsRowCount="0" totalsRowShown="0">
  <x:tableColumns count="8">
    <x:tableColumn id="1" name="Test ID"/>
    <x:tableColumn id="2" name="Device"/>
    <x:tableColumn id="3" name="Fault"/>
    <x:tableColumn id="4" name="Expected Health"/>
    <x:tableColumn id="5" name="Expected Active"/>
    <x:tableColumn id="6" name="Error Code"/>
    <x:tableColumn id="7" name="Recovery Expected"/>
    <x:tableColumn id="8" name="Curren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91b76b507e4d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97974531f543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583395e69844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c6eb4878eb42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8c3bb7e8be41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fd0a390e4545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33bd7d3a5c46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30a90573e449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9aedd52f49449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42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4" t="str">
        <x:v>Ghar Sajag Validation Dashboard — v1.5.4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4">
      <x:c r="A4" s="6" t="str">
        <x:v>Metric</x:v>
      </x:c>
      <x:c r="B4" s="6" t="str">
        <x:v>Current evidence</x:v>
      </x:c>
      <x:c r="D4" s="6" t="str">
        <x:v>Functional category</x:v>
      </x:c>
      <x:c r="E4" s="6" t="str">
        <x:v>Cases</x:v>
      </x:c>
    </x:row>
    <x:row r="5">
      <x:c r="A5" s="12" t="str">
        <x:v>Functional scenarios passed</x:v>
      </x:c>
      <x:c r="B5" s="12" t="str">
        <x:f>COUNTIF('Functional Scenarios'!J2:J69,"PASS")&amp;" / 68"</x:f>
        <x:v>68 / 68</x:v>
      </x:c>
      <x:c r="D5" t="str">
        <x:v>Expected</x:v>
      </x:c>
      <x:c r="E5" t="n">
        <x:f>COUNTIF('Functional Scenarios'!C2:C69,"expected")</x:f>
        <x:v>9</x:v>
      </x:c>
    </x:row>
    <x:row r="6">
      <x:c r="A6" s="12" t="str">
        <x:v>Dummy streams passed</x:v>
      </x:c>
      <x:c r="B6" s="12" t="str">
        <x:f>COUNTIF('Dummy Streams'!H2:H6,"PASS")&amp;" / 5"</x:f>
        <x:v>5 / 5</x:v>
      </x:c>
      <x:c r="D6" t="str">
        <x:v>Morning</x:v>
      </x:c>
      <x:c r="E6" t="n">
        <x:f>COUNTIF('Functional Scenarios'!C2:C69,"morning")</x:f>
        <x:v>10</x:v>
      </x:c>
    </x:row>
    <x:row r="7">
      <x:c r="A7" s="12" t="str">
        <x:v>HTTP integration tests</x:v>
      </x:c>
      <x:c r="B7" s="12" t="str">
        <x:v>16 / 16 PASS</x:v>
      </x:c>
      <x:c r="D7" t="str">
        <x:v>Door</x:v>
      </x:c>
      <x:c r="E7" t="n">
        <x:f>COUNTIF('Functional Scenarios'!C2:C69,"door")</x:f>
        <x:v>11</x:v>
      </x:c>
    </x:row>
    <x:row r="8">
      <x:c r="A8" s="12" t="str">
        <x:v>Python tests</x:v>
      </x:c>
      <x:c r="B8" s="12" t="str">
        <x:v>24 / 24 PASS</x:v>
      </x:c>
      <x:c r="D8" t="str">
        <x:v>Inactivity</x:v>
      </x:c>
      <x:c r="E8" t="n">
        <x:f>COUNTIF('Functional Scenarios'!C2:C69,"inactivity")</x:f>
        <x:v>10</x:v>
      </x:c>
    </x:row>
    <x:row r="9">
      <x:c r="A9" s="12" t="str">
        <x:v>JavaScript tests</x:v>
      </x:c>
      <x:c r="B9" s="12" t="str">
        <x:v>10 / 10 PASS</x:v>
      </x:c>
      <x:c r="D9" t="str">
        <x:v>Transport</x:v>
      </x:c>
      <x:c r="E9" t="n">
        <x:f>COUNTIF('Functional Scenarios'!C2:C69,"transport")</x:f>
        <x:v>5</x:v>
      </x:c>
    </x:row>
    <x:row r="10">
      <x:c r="A10" s="12" t="str">
        <x:v>C++ checks per profile</x:v>
      </x:c>
      <x:c r="B10" s="12" t="str">
        <x:v>80 PASS</x:v>
      </x:c>
      <x:c r="D10" t="str">
        <x:v>Caregiver</x:v>
      </x:c>
      <x:c r="E10" t="n">
        <x:f>COUNTIF('Functional Scenarios'!C2:C69,"caregiver")</x:f>
        <x:v>2</x:v>
      </x:c>
    </x:row>
    <x:row r="11">
      <x:c r="A11" s="12" t="str">
        <x:v>P0 requirement mappings</x:v>
      </x:c>
      <x:c r="B11" s="12" t="str">
        <x:f>COUNTIF('Requirement Coverage'!E2:E25,"Mapped")&amp;" / 24"</x:f>
        <x:v>24 / 24</x:v>
      </x:c>
      <x:c r="D11" t="str">
        <x:v>Configuration</x:v>
      </x:c>
      <x:c r="E11" t="n">
        <x:f>COUNTIF('Functional Scenarios'!C2:C69,"configuration")</x:f>
        <x:v>1</x:v>
      </x:c>
    </x:row>
    <x:row r="12">
      <x:c r="A12" s="12" t="str">
        <x:v>Browser automation</x:v>
      </x:c>
      <x:c r="B12" s="26" t="str">
        <x:v>MANUAL_REQUIRED</x:v>
      </x:c>
      <x:c r="D12" t="str">
        <x:v>Negative</x:v>
      </x:c>
      <x:c r="E12" t="n">
        <x:f>COUNTIF('Functional Scenarios'!C2:C69,"negative")</x:f>
        <x:v>9</x:v>
      </x:c>
    </x:row>
    <x:row r="13">
      <x:c r="A13" s="12" t="str">
        <x:v>Physical hardware acceptance</x:v>
      </x:c>
      <x:c r="B13" s="26" t="str">
        <x:v>PENDING</x:v>
      </x:c>
      <x:c r="D13" t="str">
        <x:v>Diagnostics</x:v>
      </x:c>
      <x:c r="E13" t="n">
        <x:f>COUNTIF('Functional Scenarios'!C2:C69,"diagnostics")</x:f>
        <x:v>11</x:v>
      </x:c>
    </x:row>
    <x:row r="15">
      <x:c r="A15" s="29" t="str">
        <x:v>Release interpretation</x:v>
      </x:c>
      <x:c r="B15" s="29"/>
      <x:c r="C15" s="29"/>
      <x:c r="D15" s="29"/>
      <x:c r="E15" s="29"/>
      <x:c r="F15" s="29"/>
      <x:c r="G15" s="29"/>
      <x:c r="H15" s="29"/>
    </x:row>
    <x:row r="16">
      <x:c r="A16" s="32" t="str">
        <x:v>HOST/SOFTWARE</x:v>
      </x:c>
      <x:c r="B16" s="34" t="str">
        <x:v>PASS</x:v>
      </x:c>
      <x:c r="C16" s="12" t="str">
        <x:v>All mandatory host/software layers passed.</x:v>
      </x:c>
    </x:row>
    <x:row r="17">
      <x:c r="A17" s="32" t="str">
        <x:v>BROWSER/PWA</x:v>
      </x:c>
      <x:c r="B17" s="26" t="str">
        <x:v>MANUAL_REQUIRED</x:v>
      </x:c>
      <x:c r="C17" s="12" t="str">
        <x:v>Playwright not installed in current evidence environment; use generated manual plan or make release-gate-browser.</x:v>
      </x:c>
    </x:row>
    <x:row r="18">
      <x:c r="A18" s="32" t="str">
        <x:v>PHYSICAL/HIL</x:v>
      </x:c>
      <x:c r="B18" s="26" t="str">
        <x:v>PENDING</x:v>
      </x:c>
      <x:c r="C18" s="12" t="str">
        <x:v>Real sensors, RF, power, flash, OTA, notification provider and installed-home coverage remain separate gates.</x:v>
      </x:c>
    </x:row>
    <x:row r="19">
      <x:c r="A19" s="32" t="str">
        <x:v>RULE</x:v>
      </x:c>
      <x:c r="B19" s="36" t="str">
        <x:v>Do not release on mandatory FAIL</x:v>
      </x:c>
      <x:c r="C19" s="12" t="str">
        <x:v>A host PASS is not a safety certification or physical product acceptance.</x:v>
      </x:c>
    </x:row>
    <x:row r="21">
      <x:c r="A21" s="29" t="str">
        <x:v>Key commands</x:v>
      </x:c>
      <x:c r="B21" s="29"/>
      <x:c r="C21" s="29"/>
      <x:c r="D21" s="29"/>
      <x:c r="E21" s="29"/>
      <x:c r="F21" s="29"/>
      <x:c r="G21" s="29"/>
      <x:c r="H21" s="29"/>
    </x:row>
    <x:row r="22">
      <x:c r="A22" s="12" t="str">
        <x:v>make validation-fast</x:v>
      </x:c>
      <x:c r="B22" s="12" t="str">
        <x:v>Developer regression</x:v>
      </x:c>
    </x:row>
    <x:row r="23">
      <x:c r="A23" s="12" t="str">
        <x:v>make release-gate</x:v>
      </x:c>
      <x:c r="B23" s="12" t="str">
        <x:v>Full host/software release gate</x:v>
      </x:c>
    </x:row>
    <x:row r="24">
      <x:c r="A24" s="12" t="str">
        <x:v>make release-gate-browser</x:v>
      </x:c>
      <x:c r="B24" s="12" t="str">
        <x:v>Full gate with browser automation mandatory</x:v>
      </x:c>
    </x:row>
    <x:row r="25">
      <x:c r="A25" s="12" t="str">
        <x:v>make manual-test-plan</x:v>
      </x:c>
      <x:c r="B25" s="12" t="str">
        <x:v>Regenerate manual checklist from canonical catalog</x:v>
      </x:c>
    </x:row>
  </x:sheetData>
  <x:mergeCells>
    <x:mergeCell ref="A1:H2"/>
    <x:mergeCell ref="A15:H15"/>
    <x:mergeCell ref="A21:H21"/>
  </x:mergeCells>
  <x:pageMargins left="0.7" right="0.7" top="0.75" bottom="0.75" header="0.3" footer="0.3"/>
  <x:drawing xmlns:r="http://schemas.openxmlformats.org/officeDocument/2006/relationships" r:id="R9e91b76b507e4d6e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45" hidden="0" customWidth="1"/>
    <x:col min="5" max="5" width="16" hidden="0" customWidth="1"/>
    <x:col min="6" max="6" width="34" hidden="0" customWidth="1"/>
    <x:col min="7" max="7" width="50" hidden="0" customWidth="1"/>
    <x:col min="8" max="8" width="50" hidden="0" customWidth="1"/>
    <x:col min="9" max="9" width="18" hidden="0" customWidth="1"/>
    <x:col min="10" max="10" width="18" hidden="0" customWidth="1"/>
    <x:col min="11" max="11" width="14" hidden="0" customWidth="1"/>
    <x:col min="12" max="12" width="38" hidden="0" customWidth="1"/>
    <x:col min="13" max="13" width="13" hidden="0" customWidth="1"/>
    <x:col min="14" max="14" width="16" hidden="0" customWidth="1"/>
    <x:col min="15" max="15" width="40" hidden="0" customWidth="1"/>
  </x:cols>
  <x:sheetData>
    <x:row r="1">
      <x:c r="A1" s="6" t="str">
        <x:v>Test ID</x:v>
      </x:c>
      <x:c r="B1" s="6" t="str">
        <x:v>Layer</x:v>
      </x:c>
      <x:c r="C1" s="6" t="str">
        <x:v>Category</x:v>
      </x:c>
      <x:c r="D1" s="6" t="str">
        <x:v>Test / Scenario</x:v>
      </x:c>
      <x:c r="E1" s="6" t="str">
        <x:v>Requirements</x:v>
      </x:c>
      <x:c r="F1" s="6" t="str">
        <x:v>Input / Preconditions</x:v>
      </x:c>
      <x:c r="G1" s="6" t="str">
        <x:v>Steps / Command</x:v>
      </x:c>
      <x:c r="H1" s="6" t="str">
        <x:v>Expected Result</x:v>
      </x:c>
      <x:c r="I1" s="6" t="str">
        <x:v>Automation</x:v>
      </x:c>
      <x:c r="J1" s="6" t="str">
        <x:v>Current Status</x:v>
      </x:c>
      <x:c r="K1" s="6" t="str">
        <x:v>Manual Result</x:v>
      </x:c>
      <x:c r="L1" s="6" t="str">
        <x:v>Evidence / Source</x:v>
      </x:c>
      <x:c r="M1" s="6" t="str">
        <x:v>Defect ID</x:v>
      </x:c>
      <x:c r="N1" s="6" t="str">
        <x:v>Owner</x:v>
      </x:c>
      <x:c r="O1" s="6" t="str">
        <x:v>Notes</x:v>
      </x:c>
    </x:row>
    <x:row r="2">
      <x:c r="A2" s="12" t="str">
        <x:v>FNC-001</x:v>
      </x:c>
      <x:c r="B2" s="12" t="str">
        <x:v>Connected Functional</x:v>
      </x:c>
      <x:c r="C2" s="12" t="str">
        <x:v>expected</x:v>
      </x:c>
      <x:c r="D2" s="12" t="str">
        <x:v>Room 1 motion is preserved as exact positive activity</x:v>
      </x:c>
      <x:c r="E2" s="12" t="str">
        <x:v>F05, F11</x:v>
      </x:c>
      <x:c r="F2" s="12" t="str">
        <x:v>Reset synthetic state before case</x:v>
      </x:c>
      <x:c r="G2" s="12" t="str">
        <x:v>Inject MOTION from room1</x:v>
      </x:c>
      <x:c r="H2" s="12" t="str">
        <x:v>home.latest_activity.kind = MOTION
home.latest_activity.location = room1
home.latest_activity.tone = positive</x:v>
      </x:c>
      <x:c r="I2" s="12" t="str">
        <x:v>Automated + Manual</x:v>
      </x:c>
      <x:c r="J2" s="12" t="str">
        <x:v>PASS</x:v>
      </x:c>
      <x:c r="K2" s="12" t="str">
        <x:v>Not Run</x:v>
      </x:c>
      <x:c r="L2" s="12" t="str">
        <x:v>tests/functional/scenario_catalog.json</x:v>
      </x:c>
      <x:c r="M2" s="12" t="str"/>
      <x:c r="N2" s="12" t="str"/>
      <x:c r="O2" s="40" t="str"/>
    </x:row>
    <x:row r="3">
      <x:c r="A3" s="12" t="str">
        <x:v>FNC-002</x:v>
      </x:c>
      <x:c r="B3" s="12" t="str">
        <x:v>Connected Functional</x:v>
      </x:c>
      <x:c r="C3" s="12" t="str">
        <x:v>expected</x:v>
      </x:c>
      <x:c r="D3" s="12" t="str">
        <x:v>Kitchen motion is preserved as exact positive activity</x:v>
      </x:c>
      <x:c r="E3" s="12" t="str">
        <x:v>F05, F11</x:v>
      </x:c>
      <x:c r="F3" s="12" t="str">
        <x:v>Reset synthetic state before case</x:v>
      </x:c>
      <x:c r="G3" s="12" t="str">
        <x:v>Inject MOTION from kitchen</x:v>
      </x:c>
      <x:c r="H3" s="12" t="str">
        <x:v>home.latest_activity.location = kitchen
home.latest_activity.tone = positive</x:v>
      </x:c>
      <x:c r="I3" s="12" t="str">
        <x:v>Automated + Manual</x:v>
      </x:c>
      <x:c r="J3" s="12" t="str">
        <x:v>PASS</x:v>
      </x:c>
      <x:c r="K3" s="12" t="str">
        <x:v>Not Run</x:v>
      </x:c>
      <x:c r="L3" s="12" t="str">
        <x:v>tests/functional/scenario_catalog.json</x:v>
      </x:c>
      <x:c r="M3" s="12" t="str"/>
      <x:c r="N3" s="12" t="str"/>
      <x:c r="O3" s="40" t="str"/>
    </x:row>
    <x:row r="4">
      <x:c r="A4" s="12" t="str">
        <x:v>FNC-003</x:v>
      </x:c>
      <x:c r="B4" s="12" t="str">
        <x:v>Connected Functional</x:v>
      </x:c>
      <x:c r="C4" s="12" t="str">
        <x:v>expected</x:v>
      </x:c>
      <x:c r="D4" s="12" t="str">
        <x:v>Pooja motion is preserved as exact positive activity</x:v>
      </x:c>
      <x:c r="E4" s="12" t="str">
        <x:v>F05, F11</x:v>
      </x:c>
      <x:c r="F4" s="12" t="str">
        <x:v>Reset synthetic state before case</x:v>
      </x:c>
      <x:c r="G4" s="12" t="str">
        <x:v>Inject MOTION from pooja</x:v>
      </x:c>
      <x:c r="H4" s="12" t="str">
        <x:v>home.latest_activity.location = pooja
home.latest_activity.tone = positive</x:v>
      </x:c>
      <x:c r="I4" s="12" t="str">
        <x:v>Automated + Manual</x:v>
      </x:c>
      <x:c r="J4" s="12" t="str">
        <x:v>PASS</x:v>
      </x:c>
      <x:c r="K4" s="12" t="str">
        <x:v>Not Run</x:v>
      </x:c>
      <x:c r="L4" s="12" t="str">
        <x:v>tests/functional/scenario_catalog.json</x:v>
      </x:c>
      <x:c r="M4" s="12" t="str"/>
      <x:c r="N4" s="12" t="str"/>
      <x:c r="O4" s="40" t="str"/>
    </x:row>
    <x:row r="5">
      <x:c r="A5" s="12" t="str">
        <x:v>FNC-004</x:v>
      </x:c>
      <x:c r="B5" s="12" t="str">
        <x:v>Connected Functional</x:v>
      </x:c>
      <x:c r="C5" s="12" t="str">
        <x:v>expected</x:v>
      </x:c>
      <x:c r="D5" s="12" t="str">
        <x:v>Normal daytime door opening is green and explicit</x:v>
      </x:c>
      <x:c r="E5" s="12" t="str">
        <x:v>F09, F11</x:v>
      </x:c>
      <x:c r="F5" s="12" t="str">
        <x:v>Reset synthetic state before case</x:v>
      </x:c>
      <x:c r="G5" s="12" t="str">
        <x:v>Inject DOOR_OPEN from entry</x:v>
      </x:c>
      <x:c r="H5" s="12" t="str">
        <x:v>home.latest_activity.kind = DOOR_OPEN
home.latest_activity.tone = positive
home.latest_activity.details.unexpected = False</x:v>
      </x:c>
      <x:c r="I5" s="12" t="str">
        <x:v>Automated + Manual</x:v>
      </x:c>
      <x:c r="J5" s="12" t="str">
        <x:v>PASS</x:v>
      </x:c>
      <x:c r="K5" s="12" t="str">
        <x:v>Not Run</x:v>
      </x:c>
      <x:c r="L5" s="12" t="str">
        <x:v>tests/functional/scenario_catalog.json</x:v>
      </x:c>
      <x:c r="M5" s="12" t="str"/>
      <x:c r="N5" s="12" t="str"/>
      <x:c r="O5" s="40" t="str"/>
    </x:row>
    <x:row r="6">
      <x:c r="A6" s="12" t="str">
        <x:v>FNC-005</x:v>
      </x:c>
      <x:c r="B6" s="12" t="str">
        <x:v>Connected Functional</x:v>
      </x:c>
      <x:c r="C6" s="12" t="str">
        <x:v>expected</x:v>
      </x:c>
      <x:c r="D6" s="12" t="str">
        <x:v>Door open and close remain chronological and explicit</x:v>
      </x:c>
      <x:c r="E6" s="12" t="str">
        <x:v>F09, F11</x:v>
      </x:c>
      <x:c r="F6" s="12" t="str">
        <x:v>Reset synthetic state before case</x:v>
      </x:c>
      <x:c r="G6" s="12" t="str">
        <x:v>Inject DOOR_OPEN from entry
Advance simulated clock by 60 seconds
Inject DOOR_CLOSED from entry</x:v>
      </x:c>
      <x:c r="H6" s="12" t="str">
        <x:v>home.recent_events starts with ['DOOR_CLOSED', 'DOOR_OPEN'] by kind
home.door_status.state = CLOSED</x:v>
      </x:c>
      <x:c r="I6" s="12" t="str">
        <x:v>Automated + Manual</x:v>
      </x:c>
      <x:c r="J6" s="12" t="str">
        <x:v>PASS</x:v>
      </x:c>
      <x:c r="K6" s="12" t="str">
        <x:v>Not Run</x:v>
      </x:c>
      <x:c r="L6" s="12" t="str">
        <x:v>tests/functional/scenario_catalog.json</x:v>
      </x:c>
      <x:c r="M6" s="12" t="str"/>
      <x:c r="N6" s="12" t="str"/>
      <x:c r="O6" s="40" t="str"/>
    </x:row>
    <x:row r="7">
      <x:c r="A7" s="12" t="str">
        <x:v>FNC-006</x:v>
      </x:c>
      <x:c r="B7" s="12" t="str">
        <x:v>Connected Functional</x:v>
      </x:c>
      <x:c r="C7" s="12" t="str">
        <x:v>expected</x:v>
      </x:c>
      <x:c r="D7" s="12" t="str">
        <x:v>I am OK remains a distinct green self-check-in</x:v>
      </x:c>
      <x:c r="E7" s="12" t="str">
        <x:v>F06, F11</x:v>
      </x:c>
      <x:c r="F7" s="12" t="str">
        <x:v>Reset synthetic state before case</x:v>
      </x:c>
      <x:c r="G7" s="12" t="str">
        <x:v>Inject OK_PRESSED from room1</x:v>
      </x:c>
      <x:c r="H7" s="12" t="str">
        <x:v>home.latest_activity.kind = OK_PRESSED
home.latest_activity.tone = positive</x:v>
      </x:c>
      <x:c r="I7" s="12" t="str">
        <x:v>Automated + Manual</x:v>
      </x:c>
      <x:c r="J7" s="12" t="str">
        <x:v>PASS</x:v>
      </x:c>
      <x:c r="K7" s="12" t="str">
        <x:v>Not Run</x:v>
      </x:c>
      <x:c r="L7" s="12" t="str">
        <x:v>tests/functional/scenario_catalog.json</x:v>
      </x:c>
      <x:c r="M7" s="12" t="str"/>
      <x:c r="N7" s="12" t="str"/>
      <x:c r="O7" s="40" t="str"/>
    </x:row>
    <x:row r="8">
      <x:c r="A8" s="12" t="str">
        <x:v>FNC-007</x:v>
      </x:c>
      <x:c r="B8" s="12" t="str">
        <x:v>Connected Functional</x:v>
      </x:c>
      <x:c r="C8" s="12" t="str">
        <x:v>expected</x:v>
      </x:c>
      <x:c r="D8" s="12" t="str">
        <x:v>Call Family opens exactly one incident and two routes</x:v>
      </x:c>
      <x:c r="E8" s="12" t="str">
        <x:v>F07, F13</x:v>
      </x:c>
      <x:c r="F8" s="12" t="str">
        <x:v>Reset synthetic state before case</x:v>
      </x:c>
      <x:c r="G8" s="12" t="str">
        <x:v>Inject CALL_FAMILY from room1</x:v>
      </x:c>
      <x:c r="H8" s="12" t="str">
        <x:v>incidents where {"kind": "CALL_FAMILY", "state": "OPEN"} count = 1
notifications where {} count = 2</x:v>
      </x:c>
      <x:c r="I8" s="12" t="str">
        <x:v>Automated + Manual</x:v>
      </x:c>
      <x:c r="J8" s="12" t="str">
        <x:v>PASS</x:v>
      </x:c>
      <x:c r="K8" s="12" t="str">
        <x:v>Not Run</x:v>
      </x:c>
      <x:c r="L8" s="12" t="str">
        <x:v>tests/functional/scenario_catalog.json</x:v>
      </x:c>
      <x:c r="M8" s="12" t="str"/>
      <x:c r="N8" s="12" t="str"/>
      <x:c r="O8" s="40" t="str"/>
    </x:row>
    <x:row r="9">
      <x:c r="A9" s="12" t="str">
        <x:v>FNC-008</x:v>
      </x:c>
      <x:c r="B9" s="12" t="str">
        <x:v>Connected Functional</x:v>
      </x:c>
      <x:c r="C9" s="12" t="str">
        <x:v>expected</x:v>
      </x:c>
      <x:c r="D9" s="12" t="str">
        <x:v>I am OK after Call Family is newer but does not resolve the request</x:v>
      </x:c>
      <x:c r="E9" s="12" t="str">
        <x:v>F06, F07, F11</x:v>
      </x:c>
      <x:c r="F9" s="12" t="str">
        <x:v>Reset synthetic state before case</x:v>
      </x:c>
      <x:c r="G9" s="12" t="str">
        <x:v>Inject CALL_FAMILY from room1
Advance simulated clock by 60 seconds
Inject OK_PRESSED from room1</x:v>
      </x:c>
      <x:c r="H9" s="12" t="str">
        <x:v>home.recent_events starts with ['OK_PRESSED', 'CALL_FAMILY'] by kind
incidents where {"kind": "CALL_FAMILY", "state": "OPEN"} count = 1</x:v>
      </x:c>
      <x:c r="I9" s="12" t="str">
        <x:v>Automated + Manual</x:v>
      </x:c>
      <x:c r="J9" s="12" t="str">
        <x:v>PASS</x:v>
      </x:c>
      <x:c r="K9" s="12" t="str">
        <x:v>Not Run</x:v>
      </x:c>
      <x:c r="L9" s="12" t="str">
        <x:v>tests/functional/scenario_catalog.json</x:v>
      </x:c>
      <x:c r="M9" s="12" t="str"/>
      <x:c r="N9" s="12" t="str"/>
      <x:c r="O9" s="40" t="str"/>
    </x:row>
    <x:row r="10">
      <x:c r="A10" s="12" t="str">
        <x:v>FNC-009</x:v>
      </x:c>
      <x:c r="B10" s="12" t="str">
        <x:v>Connected Functional</x:v>
      </x:c>
      <x:c r="C10" s="12" t="str">
        <x:v>expected</x:v>
      </x:c>
      <x:c r="D10" s="12" t="str">
        <x:v>Later activities remain visible after missing-morning alert</x:v>
      </x:c>
      <x:c r="E10" s="12" t="str">
        <x:v>F08, F11</x:v>
      </x:c>
      <x:c r="F10" s="12" t="str">
        <x:v>Reset synthetic state before case</x:v>
      </x:c>
      <x:c r="G10" s="12" t="str">
        <x:v>Advance simulated clock by 1300 seconds
Inject MOTION from room1
Advance simulated clock by 60 seconds
Inject MOTION from kitchen
Inject DOOR_OPEN from entry</x:v>
      </x:c>
      <x:c r="H10" s="12" t="str">
        <x:v>incidents where {"kind": "MISSING_MORNING_ACTIVITY"} count = 1
home.recent_events where {"kind": "MOTION"} count &gt;= 2
home.recent_events where {"kind": "DOOR_OPEN"} count = 1</x:v>
      </x:c>
      <x:c r="I10" s="12" t="str">
        <x:v>Automated + Manual</x:v>
      </x:c>
      <x:c r="J10" s="12" t="str">
        <x:v>PASS</x:v>
      </x:c>
      <x:c r="K10" s="12" t="str">
        <x:v>Not Run</x:v>
      </x:c>
      <x:c r="L10" s="12" t="str">
        <x:v>tests/functional/scenario_catalog.json</x:v>
      </x:c>
      <x:c r="M10" s="12" t="str"/>
      <x:c r="N10" s="12" t="str"/>
      <x:c r="O10" s="40" t="str"/>
    </x:row>
    <x:row r="11">
      <x:c r="A11" s="12" t="str">
        <x:v>FNC-010</x:v>
      </x:c>
      <x:c r="B11" s="12" t="str">
        <x:v>Connected Functional</x:v>
      </x:c>
      <x:c r="C11" s="12" t="str">
        <x:v>morning</x:v>
      </x:c>
      <x:c r="D11" s="12" t="str">
        <x:v>Covered morning with no evidence creates one concern</x:v>
      </x:c>
      <x:c r="E11" s="12" t="str">
        <x:v>F08</x:v>
      </x:c>
      <x:c r="F11" s="12" t="str">
        <x:v>Reset synthetic state before case</x:v>
      </x:c>
      <x:c r="G11" s="12" t="str">
        <x:v>Advance simulated clock by 1300 seconds</x:v>
      </x:c>
      <x:c r="H11" s="12" t="str">
        <x:v>simulation.reason = no_qualifying_evidence
incidents where {"kind": "MISSING_MORNING_ACTIVITY"} count = 1
notifications where {} count = 2</x:v>
      </x:c>
      <x:c r="I11" s="12" t="str">
        <x:v>Automated + Manual</x:v>
      </x:c>
      <x:c r="J11" s="12" t="str">
        <x:v>PASS</x:v>
      </x:c>
      <x:c r="K11" s="12" t="str">
        <x:v>Not Run</x:v>
      </x:c>
      <x:c r="L11" s="12" t="str">
        <x:v>tests/functional/scenario_catalog.json</x:v>
      </x:c>
      <x:c r="M11" s="12" t="str"/>
      <x:c r="N11" s="12" t="str"/>
      <x:c r="O11" s="40" t="str"/>
    </x:row>
    <x:row r="12">
      <x:c r="A12" s="12" t="str">
        <x:v>FNC-011</x:v>
      </x:c>
      <x:c r="B12" s="12" t="str">
        <x:v>Connected Functional</x:v>
      </x:c>
      <x:c r="C12" s="12" t="str">
        <x:v>morning</x:v>
      </x:c>
      <x:c r="D12" s="12" t="str">
        <x:v>Kitchen motion satisfies morning routine</x:v>
      </x:c>
      <x:c r="E12" s="12" t="str">
        <x:v>F05, F08</x:v>
      </x:c>
      <x:c r="F12" s="12" t="str">
        <x:v>Reset synthetic state before case</x:v>
      </x:c>
      <x:c r="G12" s="12" t="str">
        <x:v>Inject MOTION from kitchen
Advance simulated clock by 1300 seconds</x:v>
      </x:c>
      <x:c r="H12" s="12" t="str">
        <x:v>simulation.reason = evidence_present
incidents where {"kind": "MISSING_MORNING_ACTIVITY"} count = 0</x:v>
      </x:c>
      <x:c r="I12" s="12" t="str">
        <x:v>Automated + Manual</x:v>
      </x:c>
      <x:c r="J12" s="12" t="str">
        <x:v>PASS</x:v>
      </x:c>
      <x:c r="K12" s="12" t="str">
        <x:v>Not Run</x:v>
      </x:c>
      <x:c r="L12" s="12" t="str">
        <x:v>tests/functional/scenario_catalog.json</x:v>
      </x:c>
      <x:c r="M12" s="12" t="str"/>
      <x:c r="N12" s="12" t="str"/>
      <x:c r="O12" s="40" t="str"/>
    </x:row>
    <x:row r="13">
      <x:c r="A13" s="12" t="str">
        <x:v>FNC-012</x:v>
      </x:c>
      <x:c r="B13" s="12" t="str">
        <x:v>Connected Functional</x:v>
      </x:c>
      <x:c r="C13" s="12" t="str">
        <x:v>morning</x:v>
      </x:c>
      <x:c r="D13" s="12" t="str">
        <x:v>Pooja motion satisfies morning routine</x:v>
      </x:c>
      <x:c r="E13" s="12" t="str">
        <x:v>F05, F08</x:v>
      </x:c>
      <x:c r="F13" s="12" t="str">
        <x:v>Reset synthetic state before case</x:v>
      </x:c>
      <x:c r="G13" s="12" t="str">
        <x:v>Inject MOTION from pooja
Advance simulated clock by 1300 seconds</x:v>
      </x:c>
      <x:c r="H13" s="12" t="str">
        <x:v>simulation.reason = evidence_present
incidents where {"kind": "MISSING_MORNING_ACTIVITY"} count = 0</x:v>
      </x:c>
      <x:c r="I13" s="12" t="str">
        <x:v>Automated + Manual</x:v>
      </x:c>
      <x:c r="J13" s="12" t="str">
        <x:v>PASS</x:v>
      </x:c>
      <x:c r="K13" s="12" t="str">
        <x:v>Not Run</x:v>
      </x:c>
      <x:c r="L13" s="12" t="str">
        <x:v>tests/functional/scenario_catalog.json</x:v>
      </x:c>
      <x:c r="M13" s="12" t="str"/>
      <x:c r="N13" s="12" t="str"/>
      <x:c r="O13" s="40" t="str"/>
    </x:row>
    <x:row r="14">
      <x:c r="A14" s="12" t="str">
        <x:v>FNC-013</x:v>
      </x:c>
      <x:c r="B14" s="12" t="str">
        <x:v>Connected Functional</x:v>
      </x:c>
      <x:c r="C14" s="12" t="str">
        <x:v>morning</x:v>
      </x:c>
      <x:c r="D14" s="12" t="str">
        <x:v>Room 1 motion does not silently satisfy kitchen/pooja morning policy</x:v>
      </x:c>
      <x:c r="E14" s="12" t="str">
        <x:v>F04, F08</x:v>
      </x:c>
      <x:c r="F14" s="12" t="str">
        <x:v>Reset synthetic state before case</x:v>
      </x:c>
      <x:c r="G14" s="12" t="str">
        <x:v>Inject MOTION from room1
Advance simulated clock by 1300 seconds</x:v>
      </x:c>
      <x:c r="H14" s="12" t="str">
        <x:v>incidents where {"kind": "MISSING_MORNING_ACTIVITY"} count = 1</x:v>
      </x:c>
      <x:c r="I14" s="12" t="str">
        <x:v>Automated + Manual</x:v>
      </x:c>
      <x:c r="J14" s="12" t="str">
        <x:v>PASS</x:v>
      </x:c>
      <x:c r="K14" s="12" t="str">
        <x:v>Not Run</x:v>
      </x:c>
      <x:c r="L14" s="12" t="str">
        <x:v>tests/functional/scenario_catalog.json</x:v>
      </x:c>
      <x:c r="M14" s="12" t="str"/>
      <x:c r="N14" s="12" t="str"/>
      <x:c r="O14" s="40" t="str"/>
    </x:row>
    <x:row r="15">
      <x:c r="A15" s="12" t="str">
        <x:v>FNC-014</x:v>
      </x:c>
      <x:c r="B15" s="12" t="str">
        <x:v>Connected Functional</x:v>
      </x:c>
      <x:c r="C15" s="12" t="str">
        <x:v>morning</x:v>
      </x:c>
      <x:c r="D15" s="12" t="str">
        <x:v>Main-door activity does not silently satisfy kitchen/pooja morning policy</x:v>
      </x:c>
      <x:c r="E15" s="12" t="str">
        <x:v>F04, F08</x:v>
      </x:c>
      <x:c r="F15" s="12" t="str">
        <x:v>Reset synthetic state before case</x:v>
      </x:c>
      <x:c r="G15" s="12" t="str">
        <x:v>Inject DOOR_OPEN from entry
Advance simulated clock by 1300 seconds</x:v>
      </x:c>
      <x:c r="H15" s="12" t="str">
        <x:v>incidents where {"kind": "MISSING_MORNING_ACTIVITY"} count = 1</x:v>
      </x:c>
      <x:c r="I15" s="12" t="str">
        <x:v>Automated + Manual</x:v>
      </x:c>
      <x:c r="J15" s="12" t="str">
        <x:v>PASS</x:v>
      </x:c>
      <x:c r="K15" s="12" t="str">
        <x:v>Not Run</x:v>
      </x:c>
      <x:c r="L15" s="12" t="str">
        <x:v>tests/functional/scenario_catalog.json</x:v>
      </x:c>
      <x:c r="M15" s="12" t="str"/>
      <x:c r="N15" s="12" t="str"/>
      <x:c r="O15" s="40" t="str"/>
    </x:row>
    <x:row r="16">
      <x:c r="A16" s="12" t="str">
        <x:v>FNC-015</x:v>
      </x:c>
      <x:c r="B16" s="12" t="str">
        <x:v>Connected Functional</x:v>
      </x:c>
      <x:c r="C16" s="12" t="str">
        <x:v>morning</x:v>
      </x:c>
      <x:c r="D16" s="12" t="str">
        <x:v>Explicit I am OK satisfies morning check-in independently of PIR</x:v>
      </x:c>
      <x:c r="E16" s="12" t="str">
        <x:v>F06, F08</x:v>
      </x:c>
      <x:c r="F16" s="12" t="str">
        <x:v>Reset synthetic state before case</x:v>
      </x:c>
      <x:c r="G16" s="12" t="str">
        <x:v>Inject OK_PRESSED from room1
Advance simulated clock by 1300 seconds</x:v>
      </x:c>
      <x:c r="H16" s="12" t="str">
        <x:v>simulation.explicit_ok is true/non-empty
incidents where {"kind": "MISSING_MORNING_ACTIVITY"} count = 0</x:v>
      </x:c>
      <x:c r="I16" s="12" t="str">
        <x:v>Automated + Manual</x:v>
      </x:c>
      <x:c r="J16" s="12" t="str">
        <x:v>PASS</x:v>
      </x:c>
      <x:c r="K16" s="12" t="str">
        <x:v>Not Run</x:v>
      </x:c>
      <x:c r="L16" s="12" t="str">
        <x:v>tests/functional/scenario_catalog.json</x:v>
      </x:c>
      <x:c r="M16" s="12" t="str"/>
      <x:c r="N16" s="12" t="str"/>
      <x:c r="O16" s="40" t="str"/>
    </x:row>
    <x:row r="17">
      <x:c r="A17" s="12" t="str">
        <x:v>FNC-016</x:v>
      </x:c>
      <x:c r="B17" s="12" t="str">
        <x:v>Connected Functional</x:v>
      </x:c>
      <x:c r="C17" s="12" t="str">
        <x:v>morning</x:v>
      </x:c>
      <x:c r="D17" s="12" t="str">
        <x:v>Missing sensor coverage suppresses inactivity interpretation</x:v>
      </x:c>
      <x:c r="E17" s="12" t="str">
        <x:v>E01, F08</x:v>
      </x:c>
      <x:c r="F17" s="12" t="str">
        <x:v>Reset synthetic state before case</x:v>
      </x:c>
      <x:c r="G17" s="12" t="str">
        <x:v>{"action": "node", "enabled": false, "node": "kitchen"}
Advance simulated clock by 1300 seconds</x:v>
      </x:c>
      <x:c r="H17" s="12" t="str">
        <x:v>simulation.reason = coverage_unknown
incidents where {"kind": "MISSING_MORNING_ACTIVITY"} count = 0</x:v>
      </x:c>
      <x:c r="I17" s="12" t="str">
        <x:v>Automated + Manual</x:v>
      </x:c>
      <x:c r="J17" s="12" t="str">
        <x:v>PASS</x:v>
      </x:c>
      <x:c r="K17" s="12" t="str">
        <x:v>Not Run</x:v>
      </x:c>
      <x:c r="L17" s="12" t="str">
        <x:v>tests/functional/scenario_catalog.json</x:v>
      </x:c>
      <x:c r="M17" s="12" t="str"/>
      <x:c r="N17" s="12" t="str"/>
      <x:c r="O17" s="40" t="str"/>
    </x:row>
    <x:row r="18">
      <x:c r="A18" s="12" t="str">
        <x:v>FNC-017</x:v>
      </x:c>
      <x:c r="B18" s="12" t="str">
        <x:v>Connected Functional</x:v>
      </x:c>
      <x:c r="C18" s="12" t="str">
        <x:v>morning</x:v>
      </x:c>
      <x:c r="D18" s="12" t="str">
        <x:v>Untrusted clock suppresses time-based morning concern</x:v>
      </x:c>
      <x:c r="E18" s="12" t="str">
        <x:v>E06, F08</x:v>
      </x:c>
      <x:c r="F18" s="12" t="str">
        <x:v>Reset synthetic state before case</x:v>
      </x:c>
      <x:c r="G18" s="12" t="str">
        <x:v>Set trusted clock disabled
Advance simulated clock by 1300 seconds</x:v>
      </x:c>
      <x:c r="H18" s="12" t="str">
        <x:v>simulation.reason = time_untrusted
incidents where {"kind": "MISSING_MORNING_ACTIVITY"} count = 0</x:v>
      </x:c>
      <x:c r="I18" s="12" t="str">
        <x:v>Automated + Manual</x:v>
      </x:c>
      <x:c r="J18" s="12" t="str">
        <x:v>PASS</x:v>
      </x:c>
      <x:c r="K18" s="12" t="str">
        <x:v>Not Run</x:v>
      </x:c>
      <x:c r="L18" s="12" t="str">
        <x:v>tests/functional/scenario_catalog.json</x:v>
      </x:c>
      <x:c r="M18" s="12" t="str"/>
      <x:c r="N18" s="12" t="str"/>
      <x:c r="O18" s="40" t="str"/>
    </x:row>
    <x:row r="19">
      <x:c r="A19" s="12" t="str">
        <x:v>FNC-018</x:v>
      </x:c>
      <x:c r="B19" s="12" t="str">
        <x:v>Connected Functional</x:v>
      </x:c>
      <x:c r="C19" s="12" t="str">
        <x:v>morning</x:v>
      </x:c>
      <x:c r="D19" s="12" t="str">
        <x:v>Morning concern detected offline replays with original detection time</x:v>
      </x:c>
      <x:c r="E19" s="12" t="str">
        <x:v>E03, F08</x:v>
      </x:c>
      <x:c r="F19" s="12" t="str">
        <x:v>Reset synthetic state before case</x:v>
      </x:c>
      <x:c r="G19" s="12" t="str">
        <x:v>Set WAN disabled
Advance simulated clock by 1300 seconds
Advance simulated clock by 60 seconds
Set WAN enabled</x:v>
      </x:c>
      <x:c r="H19" s="12" t="str">
        <x:v>incidents where {"kind": "MISSING_MORNING_ACTIVITY"} count = 1
timeline where {"kind": "MISSING_MORNING_ACTIVITY", "occurred_at": 2300} count = 1</x:v>
      </x:c>
      <x:c r="I19" s="12" t="str">
        <x:v>Automated + Manual</x:v>
      </x:c>
      <x:c r="J19" s="12" t="str">
        <x:v>PASS</x:v>
      </x:c>
      <x:c r="K19" s="12" t="str">
        <x:v>Not Run</x:v>
      </x:c>
      <x:c r="L19" s="12" t="str">
        <x:v>tests/functional/scenario_catalog.json</x:v>
      </x:c>
      <x:c r="M19" s="12" t="str"/>
      <x:c r="N19" s="12" t="str"/>
      <x:c r="O19" s="40" t="str"/>
    </x:row>
    <x:row r="20">
      <x:c r="A20" s="12" t="str">
        <x:v>FNC-019</x:v>
      </x:c>
      <x:c r="B20" s="12" t="str">
        <x:v>Connected Functional</x:v>
      </x:c>
      <x:c r="C20" s="12" t="str">
        <x:v>morning</x:v>
      </x:c>
      <x:c r="D20" s="12" t="str">
        <x:v>Repeated deadline evaluation does not create duplicate missing incident</x:v>
      </x:c>
      <x:c r="E20" s="12" t="str">
        <x:v>E02, F08</x:v>
      </x:c>
      <x:c r="F20" s="12" t="str">
        <x:v>Reset synthetic state before case</x:v>
      </x:c>
      <x:c r="G20" s="12" t="str">
        <x:v>Advance simulated clock by 1300 seconds
{"action": "deadline"}
{"action": "deadline"}</x:v>
      </x:c>
      <x:c r="H20" s="12" t="str">
        <x:v>incidents where {"kind": "MISSING_MORNING_ACTIVITY"} count = 1</x:v>
      </x:c>
      <x:c r="I20" s="12" t="str">
        <x:v>Automated + Manual</x:v>
      </x:c>
      <x:c r="J20" s="12" t="str">
        <x:v>PASS</x:v>
      </x:c>
      <x:c r="K20" s="12" t="str">
        <x:v>Not Run</x:v>
      </x:c>
      <x:c r="L20" s="12" t="str">
        <x:v>tests/functional/scenario_catalog.json</x:v>
      </x:c>
      <x:c r="M20" s="12" t="str"/>
      <x:c r="N20" s="12" t="str"/>
      <x:c r="O20" s="40" t="str"/>
    </x:row>
    <x:row r="21">
      <x:c r="A21" s="12" t="str">
        <x:v>FNC-020</x:v>
      </x:c>
      <x:c r="B21" s="12" t="str">
        <x:v>Connected Functional</x:v>
      </x:c>
      <x:c r="C21" s="12" t="str">
        <x:v>door</x:v>
      </x:c>
      <x:c r="D21" s="12" t="str">
        <x:v>Door opening in configured quiet hours is unexpected/red</x:v>
      </x:c>
      <x:c r="E21" s="12" t="str">
        <x:v>F09</x:v>
      </x:c>
      <x:c r="F21" s="12" t="str">
        <x:v>Reset synthetic state before case</x:v>
      </x:c>
      <x:c r="G21" s="12" t="str">
        <x:v>Inject DOOR_OPEN from entry (late-night)</x:v>
      </x:c>
      <x:c r="H21" s="12" t="str">
        <x:v>home.latest_activity.details.unexpected = True
home.latest_activity.tone = danger</x:v>
      </x:c>
      <x:c r="I21" s="12" t="str">
        <x:v>Automated + Manual</x:v>
      </x:c>
      <x:c r="J21" s="12" t="str">
        <x:v>PASS</x:v>
      </x:c>
      <x:c r="K21" s="12" t="str">
        <x:v>Not Run</x:v>
      </x:c>
      <x:c r="L21" s="12" t="str">
        <x:v>tests/functional/scenario_catalog.json</x:v>
      </x:c>
      <x:c r="M21" s="12" t="str"/>
      <x:c r="N21" s="12" t="str"/>
      <x:c r="O21" s="40" t="str"/>
    </x:row>
    <x:row r="22">
      <x:c r="A22" s="12" t="str">
        <x:v>FNC-021</x:v>
      </x:c>
      <x:c r="B22" s="12" t="str">
        <x:v>Connected Functional</x:v>
      </x:c>
      <x:c r="C22" s="12" t="str">
        <x:v>door</x:v>
      </x:c>
      <x:c r="D22" s="12" t="str">
        <x:v>Quiet-hour door opening is normal when the household disables that rule</x:v>
      </x:c>
      <x:c r="E22" s="12" t="str">
        <x:v>F09, E07</x:v>
      </x:c>
      <x:c r="F22" s="12" t="str">
        <x:v>Reset synthetic state before case</x:v>
      </x:c>
      <x:c r="G22" s="12" t="str">
        <x:v>Change household settings: {"quiet_hours_enabled": false}
Inject DOOR_OPEN from entry (late-night)</x:v>
      </x:c>
      <x:c r="H22" s="12" t="str">
        <x:v>home.latest_activity.details.unexpected = False
home.latest_activity.tone = positive</x:v>
      </x:c>
      <x:c r="I22" s="12" t="str">
        <x:v>Automated + Manual</x:v>
      </x:c>
      <x:c r="J22" s="12" t="str">
        <x:v>PASS</x:v>
      </x:c>
      <x:c r="K22" s="12" t="str">
        <x:v>Not Run</x:v>
      </x:c>
      <x:c r="L22" s="12" t="str">
        <x:v>tests/functional/scenario_catalog.json</x:v>
      </x:c>
      <x:c r="M22" s="12" t="str"/>
      <x:c r="N22" s="12" t="str"/>
      <x:c r="O22" s="40" t="str"/>
    </x:row>
    <x:row r="23">
      <x:c r="A23" s="12" t="str">
        <x:v>FNC-022</x:v>
      </x:c>
      <x:c r="B23" s="12" t="str">
        <x:v>Connected Functional</x:v>
      </x:c>
      <x:c r="C23" s="12" t="str">
        <x:v>door</x:v>
      </x:c>
      <x:c r="D23" s="12" t="str">
        <x:v>Late-night door concern is suppressed in AWAY mode</x:v>
      </x:c>
      <x:c r="E23" s="12" t="str">
        <x:v>F09, F10</x:v>
      </x:c>
      <x:c r="F23" s="12" t="str">
        <x:v>Reset synthetic state before case</x:v>
      </x:c>
      <x:c r="G23" s="12" t="str">
        <x:v>Set home mode to AWAY
Inject DOOR_OPEN from entry (late-night)</x:v>
      </x:c>
      <x:c r="H23" s="12" t="str">
        <x:v>home.latest_activity.details.unexpected = False
home.mode = AWAY</x:v>
      </x:c>
      <x:c r="I23" s="12" t="str">
        <x:v>Automated + Manual</x:v>
      </x:c>
      <x:c r="J23" s="12" t="str">
        <x:v>PASS</x:v>
      </x:c>
      <x:c r="K23" s="12" t="str">
        <x:v>Not Run</x:v>
      </x:c>
      <x:c r="L23" s="12" t="str">
        <x:v>tests/functional/scenario_catalog.json</x:v>
      </x:c>
      <x:c r="M23" s="12" t="str"/>
      <x:c r="N23" s="12" t="str"/>
      <x:c r="O23" s="40" t="str"/>
    </x:row>
    <x:row r="24">
      <x:c r="A24" s="12" t="str">
        <x:v>FNC-023</x:v>
      </x:c>
      <x:c r="B24" s="12" t="str">
        <x:v>Connected Functional</x:v>
      </x:c>
      <x:c r="C24" s="12" t="str">
        <x:v>door</x:v>
      </x:c>
      <x:c r="D24" s="12" t="str">
        <x:v>Late-night door concern is suppressed in PAUSED mode</x:v>
      </x:c>
      <x:c r="E24" s="12" t="str">
        <x:v>F09, F10</x:v>
      </x:c>
      <x:c r="F24" s="12" t="str">
        <x:v>Reset synthetic state before case</x:v>
      </x:c>
      <x:c r="G24" s="12" t="str">
        <x:v>Set home mode to PAUSED
Inject DOOR_OPEN from entry (late-night)</x:v>
      </x:c>
      <x:c r="H24" s="12" t="str">
        <x:v>home.latest_activity.details.unexpected = False
home.mode = PAUSED</x:v>
      </x:c>
      <x:c r="I24" s="12" t="str">
        <x:v>Automated + Manual</x:v>
      </x:c>
      <x:c r="J24" s="12" t="str">
        <x:v>PASS</x:v>
      </x:c>
      <x:c r="K24" s="12" t="str">
        <x:v>Not Run</x:v>
      </x:c>
      <x:c r="L24" s="12" t="str">
        <x:v>tests/functional/scenario_catalog.json</x:v>
      </x:c>
      <x:c r="M24" s="12" t="str"/>
      <x:c r="N24" s="12" t="str"/>
      <x:c r="O24" s="40" t="str"/>
    </x:row>
    <x:row r="25">
      <x:c r="A25" s="12" t="str">
        <x:v>FNC-024</x:v>
      </x:c>
      <x:c r="B25" s="12" t="str">
        <x:v>Connected Functional</x:v>
      </x:c>
      <x:c r="C25" s="12" t="str">
        <x:v>door</x:v>
      </x:c>
      <x:c r="D25" s="12" t="str">
        <x:v>Late-night door concern is suppressed in VISITOR mode</x:v>
      </x:c>
      <x:c r="E25" s="12" t="str">
        <x:v>F09, F10</x:v>
      </x:c>
      <x:c r="F25" s="12" t="str">
        <x:v>Reset synthetic state before case</x:v>
      </x:c>
      <x:c r="G25" s="12" t="str">
        <x:v>Set home mode to VISITOR
Inject DOOR_OPEN from entry (late-night)</x:v>
      </x:c>
      <x:c r="H25" s="12" t="str">
        <x:v>home.latest_activity.details.unexpected = False
home.mode = VISITOR</x:v>
      </x:c>
      <x:c r="I25" s="12" t="str">
        <x:v>Automated + Manual</x:v>
      </x:c>
      <x:c r="J25" s="12" t="str">
        <x:v>PASS</x:v>
      </x:c>
      <x:c r="K25" s="12" t="str">
        <x:v>Not Run</x:v>
      </x:c>
      <x:c r="L25" s="12" t="str">
        <x:v>tests/functional/scenario_catalog.json</x:v>
      </x:c>
      <x:c r="M25" s="12" t="str"/>
      <x:c r="N25" s="12" t="str"/>
      <x:c r="O25" s="40" t="str"/>
    </x:row>
    <x:row r="26">
      <x:c r="A26" s="12" t="str">
        <x:v>FNC-025</x:v>
      </x:c>
      <x:c r="B26" s="12" t="str">
        <x:v>Connected Functional</x:v>
      </x:c>
      <x:c r="C26" s="12" t="str">
        <x:v>door</x:v>
      </x:c>
      <x:c r="D26" s="12" t="str">
        <x:v>Door left open before threshold does not warn</x:v>
      </x:c>
      <x:c r="E26" s="12" t="str">
        <x:v>F09</x:v>
      </x:c>
      <x:c r="F26" s="12" t="str">
        <x:v>Reset synthetic state before case</x:v>
      </x:c>
      <x:c r="G26" s="12" t="str">
        <x:v>Inject DOOR_OPEN from entry
Advance simulated clock by 299 seconds</x:v>
      </x:c>
      <x:c r="H26" s="12" t="str">
        <x:v>timeline where {"kind": "DOOR_LEFT_OPEN"} count = 0
home.door_status.left_open = False</x:v>
      </x:c>
      <x:c r="I26" s="12" t="str">
        <x:v>Automated + Manual</x:v>
      </x:c>
      <x:c r="J26" s="12" t="str">
        <x:v>PASS</x:v>
      </x:c>
      <x:c r="K26" s="12" t="str">
        <x:v>Not Run</x:v>
      </x:c>
      <x:c r="L26" s="12" t="str">
        <x:v>tests/functional/scenario_catalog.json</x:v>
      </x:c>
      <x:c r="M26" s="12" t="str"/>
      <x:c r="N26" s="12" t="str"/>
      <x:c r="O26" s="40" t="str"/>
    </x:row>
    <x:row r="27">
      <x:c r="A27" s="12" t="str">
        <x:v>FNC-026</x:v>
      </x:c>
      <x:c r="B27" s="12" t="str">
        <x:v>Connected Functional</x:v>
      </x:c>
      <x:c r="C27" s="12" t="str">
        <x:v>door</x:v>
      </x:c>
      <x:c r="D27" s="12" t="str">
        <x:v>Door left open at threshold creates one red warning</x:v>
      </x:c>
      <x:c r="E27" s="12" t="str">
        <x:v>F09</x:v>
      </x:c>
      <x:c r="F27" s="12" t="str">
        <x:v>Reset synthetic state before case</x:v>
      </x:c>
      <x:c r="G27" s="12" t="str">
        <x:v>Inject DOOR_OPEN from entry
Advance simulated clock by 300 seconds</x:v>
      </x:c>
      <x:c r="H27" s="12" t="str">
        <x:v>timeline where {"kind": "DOOR_LEFT_OPEN", "tone": "danger"} count = 1
home.door_status.left_open = True</x:v>
      </x:c>
      <x:c r="I27" s="12" t="str">
        <x:v>Automated + Manual</x:v>
      </x:c>
      <x:c r="J27" s="12" t="str">
        <x:v>PASS</x:v>
      </x:c>
      <x:c r="K27" s="12" t="str">
        <x:v>Not Run</x:v>
      </x:c>
      <x:c r="L27" s="12" t="str">
        <x:v>tests/functional/scenario_catalog.json</x:v>
      </x:c>
      <x:c r="M27" s="12" t="str"/>
      <x:c r="N27" s="12" t="str"/>
      <x:c r="O27" s="40" t="str"/>
    </x:row>
    <x:row r="28">
      <x:c r="A28" s="12" t="str">
        <x:v>FNC-027</x:v>
      </x:c>
      <x:c r="B28" s="12" t="str">
        <x:v>Connected Functional</x:v>
      </x:c>
      <x:c r="C28" s="12" t="str">
        <x:v>door</x:v>
      </x:c>
      <x:c r="D28" s="12" t="str">
        <x:v>Door closed before threshold remains normal</x:v>
      </x:c>
      <x:c r="E28" s="12" t="str">
        <x:v>F09</x:v>
      </x:c>
      <x:c r="F28" s="12" t="str">
        <x:v>Reset synthetic state before case</x:v>
      </x:c>
      <x:c r="G28" s="12" t="str">
        <x:v>Inject DOOR_OPEN from entry
Advance simulated clock by 240 seconds
Inject DOOR_CLOSED from entry</x:v>
      </x:c>
      <x:c r="H28" s="12" t="str">
        <x:v>timeline where {"kind": "DOOR_LEFT_OPEN"} count = 0
home.latest_activity.kind = DOOR_CLOSED
home.latest_activity.tone = positive</x:v>
      </x:c>
      <x:c r="I28" s="12" t="str">
        <x:v>Automated + Manual</x:v>
      </x:c>
      <x:c r="J28" s="12" t="str">
        <x:v>PASS</x:v>
      </x:c>
      <x:c r="K28" s="12" t="str">
        <x:v>Not Run</x:v>
      </x:c>
      <x:c r="L28" s="12" t="str">
        <x:v>tests/functional/scenario_catalog.json</x:v>
      </x:c>
      <x:c r="M28" s="12" t="str"/>
      <x:c r="N28" s="12" t="str"/>
      <x:c r="O28" s="40" t="str"/>
    </x:row>
    <x:row r="29">
      <x:c r="A29" s="12" t="str">
        <x:v>FNC-028</x:v>
      </x:c>
      <x:c r="B29" s="12" t="str">
        <x:v>Connected Functional</x:v>
      </x:c>
      <x:c r="C29" s="12" t="str">
        <x:v>door</x:v>
      </x:c>
      <x:c r="D29" s="12" t="str">
        <x:v>Closing a left-open door clears current condition and preserves duration</x:v>
      </x:c>
      <x:c r="E29" s="12" t="str">
        <x:v>F09</x:v>
      </x:c>
      <x:c r="F29" s="12" t="str">
        <x:v>Reset synthetic state before case</x:v>
      </x:c>
      <x:c r="G29" s="12" t="str">
        <x:v>Inject DOOR_OPEN from entry
Advance simulated clock by 360 seconds
Inject DOOR_CLOSED from entry</x:v>
      </x:c>
      <x:c r="H29" s="12" t="str">
        <x:v>timeline where {"kind": "DOOR_LEFT_OPEN"} count = 1
home.latest_activity.details.resolved_left_open = True
{"ge": 360, "path": "home.latest_activity.details.open_duration_s"}
home.door_status.state = CLOSED</x:v>
      </x:c>
      <x:c r="I29" s="12" t="str">
        <x:v>Automated + Manual</x:v>
      </x:c>
      <x:c r="J29" s="12" t="str">
        <x:v>PASS</x:v>
      </x:c>
      <x:c r="K29" s="12" t="str">
        <x:v>Not Run</x:v>
      </x:c>
      <x:c r="L29" s="12" t="str">
        <x:v>tests/functional/scenario_catalog.json</x:v>
      </x:c>
      <x:c r="M29" s="12" t="str"/>
      <x:c r="N29" s="12" t="str"/>
      <x:c r="O29" s="40" t="str"/>
    </x:row>
    <x:row r="30">
      <x:c r="A30" s="12" t="str">
        <x:v>FNC-029</x:v>
      </x:c>
      <x:c r="B30" s="12" t="str">
        <x:v>Connected Functional</x:v>
      </x:c>
      <x:c r="C30" s="12" t="str">
        <x:v>door</x:v>
      </x:c>
      <x:c r="D30" s="12" t="str">
        <x:v>Standalone close state does not invent a left-open warning</x:v>
      </x:c>
      <x:c r="E30" s="12" t="str">
        <x:v>F09</x:v>
      </x:c>
      <x:c r="F30" s="12" t="str">
        <x:v>Reset synthetic state before case</x:v>
      </x:c>
      <x:c r="G30" s="12" t="str">
        <x:v>Inject DOOR_CLOSED from entry</x:v>
      </x:c>
      <x:c r="H30" s="12" t="str">
        <x:v>timeline where {"kind": "DOOR_LEFT_OPEN"} count = 0
home.door_status.state = CLOSED</x:v>
      </x:c>
      <x:c r="I30" s="12" t="str">
        <x:v>Automated + Manual</x:v>
      </x:c>
      <x:c r="J30" s="12" t="str">
        <x:v>PASS</x:v>
      </x:c>
      <x:c r="K30" s="12" t="str">
        <x:v>Not Run</x:v>
      </x:c>
      <x:c r="L30" s="12" t="str">
        <x:v>tests/functional/scenario_catalog.json</x:v>
      </x:c>
      <x:c r="M30" s="12" t="str"/>
      <x:c r="N30" s="12" t="str"/>
      <x:c r="O30" s="40" t="str"/>
    </x:row>
    <x:row r="31">
      <x:c r="A31" s="12" t="str">
        <x:v>FNC-030</x:v>
      </x:c>
      <x:c r="B31" s="12" t="str">
        <x:v>Connected Functional</x:v>
      </x:c>
      <x:c r="C31" s="12" t="str">
        <x:v>door</x:v>
      </x:c>
      <x:c r="D31" s="12" t="str">
        <x:v>Door-left-open threshold follows household configuration</x:v>
      </x:c>
      <x:c r="E31" s="12" t="str">
        <x:v>F09, E07</x:v>
      </x:c>
      <x:c r="F31" s="12" t="str">
        <x:v>Reset synthetic state before case</x:v>
      </x:c>
      <x:c r="G31" s="12" t="str">
        <x:v>Change household settings: {"door_open_timeout_seconds": 120}
Inject DOOR_OPEN from entry
Advance simulated clock by 119 seconds
Advance simulated clock by 1 seconds</x:v>
      </x:c>
      <x:c r="H31" s="12" t="str">
        <x:v>timeline where {"kind": "DOOR_LEFT_OPEN"} count = 1
home.door_status.left_open = True</x:v>
      </x:c>
      <x:c r="I31" s="12" t="str">
        <x:v>Automated + Manual</x:v>
      </x:c>
      <x:c r="J31" s="12" t="str">
        <x:v>PASS</x:v>
      </x:c>
      <x:c r="K31" s="12" t="str">
        <x:v>Not Run</x:v>
      </x:c>
      <x:c r="L31" s="12" t="str">
        <x:v>tests/functional/scenario_catalog.json</x:v>
      </x:c>
      <x:c r="M31" s="12" t="str"/>
      <x:c r="N31" s="12" t="str"/>
      <x:c r="O31" s="40" t="str"/>
    </x:row>
    <x:row r="32">
      <x:c r="A32" s="12" t="str">
        <x:v>FNC-031</x:v>
      </x:c>
      <x:c r="B32" s="12" t="str">
        <x:v>Connected Functional</x:v>
      </x:c>
      <x:c r="C32" s="12" t="str">
        <x:v>inactivity</x:v>
      </x:c>
      <x:c r="D32" s="12" t="str">
        <x:v>No activity before configured threshold does not alert</x:v>
      </x:c>
      <x:c r="E32" s="12" t="str">
        <x:v>F11</x:v>
      </x:c>
      <x:c r="F32" s="12" t="str">
        <x:v>Reset synthetic state before case</x:v>
      </x:c>
      <x:c r="G32" s="12" t="str">
        <x:v>Change household settings: {"daytime_inactivity_seconds": 300}
Set local minute to 600
Advance simulated clock by 299 seconds</x:v>
      </x:c>
      <x:c r="H32" s="12" t="str">
        <x:v>timeline where {"kind": "DAYTIME_INACTIVITY"} count = 0
incidents where {"kind": "DAYTIME_INACTIVITY"} count = 0</x:v>
      </x:c>
      <x:c r="I32" s="12" t="str">
        <x:v>Automated + Manual</x:v>
      </x:c>
      <x:c r="J32" s="12" t="str">
        <x:v>PASS</x:v>
      </x:c>
      <x:c r="K32" s="12" t="str">
        <x:v>Not Run</x:v>
      </x:c>
      <x:c r="L32" s="12" t="str">
        <x:v>tests/functional/scenario_catalog.json</x:v>
      </x:c>
      <x:c r="M32" s="12" t="str"/>
      <x:c r="N32" s="12" t="str"/>
      <x:c r="O32" s="40" t="str"/>
    </x:row>
    <x:row r="33">
      <x:c r="A33" s="12" t="str">
        <x:v>FNC-032</x:v>
      </x:c>
      <x:c r="B33" s="12" t="str">
        <x:v>Connected Functional</x:v>
      </x:c>
      <x:c r="C33" s="12" t="str">
        <x:v>inactivity</x:v>
      </x:c>
      <x:c r="D33" s="12" t="str">
        <x:v>No activity at configured threshold opens check-in workflow</x:v>
      </x:c>
      <x:c r="E33" s="12" t="str">
        <x:v>F11, F12</x:v>
      </x:c>
      <x:c r="F33" s="12" t="str">
        <x:v>Reset synthetic state before case</x:v>
      </x:c>
      <x:c r="G33" s="12" t="str">
        <x:v>Change household settings: {"daytime_inactivity_seconds": 300}
Set local minute to 600
Advance simulated clock by 300 seconds</x:v>
      </x:c>
      <x:c r="H33" s="12" t="str">
        <x:v>timeline where {"kind": "DAYTIME_INACTIVITY", "tone": "danger"} count = 1
incidents where {"kind": "DAYTIME_INACTIVITY", "state": "OPEN"} count = 1
notifications where {} count = 2</x:v>
      </x:c>
      <x:c r="I33" s="12" t="str">
        <x:v>Automated + Manual</x:v>
      </x:c>
      <x:c r="J33" s="12" t="str">
        <x:v>PASS</x:v>
      </x:c>
      <x:c r="K33" s="12" t="str">
        <x:v>Not Run</x:v>
      </x:c>
      <x:c r="L33" s="12" t="str">
        <x:v>tests/functional/scenario_catalog.json</x:v>
      </x:c>
      <x:c r="M33" s="12" t="str"/>
      <x:c r="N33" s="12" t="str"/>
      <x:c r="O33" s="40" t="str"/>
    </x:row>
    <x:row r="34">
      <x:c r="A34" s="12" t="str">
        <x:v>FNC-033</x:v>
      </x:c>
      <x:c r="B34" s="12" t="str">
        <x:v>Connected Functional</x:v>
      </x:c>
      <x:c r="C34" s="12" t="str">
        <x:v>inactivity</x:v>
      </x:c>
      <x:c r="D34" s="12" t="str">
        <x:v>Activity resets daytime inactivity timer</x:v>
      </x:c>
      <x:c r="E34" s="12" t="str">
        <x:v>F05</x:v>
      </x:c>
      <x:c r="F34" s="12" t="str">
        <x:v>Reset synthetic state before case</x:v>
      </x:c>
      <x:c r="G34" s="12" t="str">
        <x:v>Change household settings: {"daytime_inactivity_seconds": 300}
Set local minute to 600
Advance simulated clock by 240 seconds
Inject MOTION from room1
Advance simulated clock by 240 seconds</x:v>
      </x:c>
      <x:c r="H34" s="12" t="str">
        <x:v>timeline where {"kind": "DAYTIME_INACTIVITY"} count = 0</x:v>
      </x:c>
      <x:c r="I34" s="12" t="str">
        <x:v>Automated + Manual</x:v>
      </x:c>
      <x:c r="J34" s="12" t="str">
        <x:v>PASS</x:v>
      </x:c>
      <x:c r="K34" s="12" t="str">
        <x:v>Not Run</x:v>
      </x:c>
      <x:c r="L34" s="12" t="str">
        <x:v>tests/functional/scenario_catalog.json</x:v>
      </x:c>
      <x:c r="M34" s="12" t="str"/>
      <x:c r="N34" s="12" t="str"/>
      <x:c r="O34" s="40" t="str"/>
    </x:row>
    <x:row r="35">
      <x:c r="A35" s="12" t="str">
        <x:v>FNC-034</x:v>
      </x:c>
      <x:c r="B35" s="12" t="str">
        <x:v>Connected Functional</x:v>
      </x:c>
      <x:c r="C35" s="12" t="str">
        <x:v>inactivity</x:v>
      </x:c>
      <x:c r="D35" s="12" t="str">
        <x:v>Disabled daytime inactivity policy produces no concern</x:v>
      </x:c>
      <x:c r="E35" s="12" t="str">
        <x:v>E07</x:v>
      </x:c>
      <x:c r="F35" s="12" t="str">
        <x:v>Reset synthetic state before case</x:v>
      </x:c>
      <x:c r="G35" s="12" t="str">
        <x:v>Change household settings: {"daytime_inactivity_enabled": false, "daytime_inactivity_seconds": 300}
Set local minute to 600
Advance simulated clock by 600 seconds</x:v>
      </x:c>
      <x:c r="H35" s="12" t="str">
        <x:v>timeline where {"kind": "DAYTIME_INACTIVITY"} count = 0</x:v>
      </x:c>
      <x:c r="I35" s="12" t="str">
        <x:v>Automated + Manual</x:v>
      </x:c>
      <x:c r="J35" s="12" t="str">
        <x:v>PASS</x:v>
      </x:c>
      <x:c r="K35" s="12" t="str">
        <x:v>Not Run</x:v>
      </x:c>
      <x:c r="L35" s="12" t="str">
        <x:v>tests/functional/scenario_catalog.json</x:v>
      </x:c>
      <x:c r="M35" s="12" t="str"/>
      <x:c r="N35" s="12" t="str"/>
      <x:c r="O35" s="40" t="str"/>
    </x:row>
    <x:row r="36">
      <x:c r="A36" s="12" t="str">
        <x:v>FNC-035</x:v>
      </x:c>
      <x:c r="B36" s="12" t="str">
        <x:v>Connected Functional</x:v>
      </x:c>
      <x:c r="C36" s="12" t="str">
        <x:v>inactivity</x:v>
      </x:c>
      <x:c r="D36" s="12" t="str">
        <x:v>Daytime inactivity is suppressed in AWAY mode</x:v>
      </x:c>
      <x:c r="E36" s="12" t="str">
        <x:v>F10</x:v>
      </x:c>
      <x:c r="F36" s="12" t="str">
        <x:v>Reset synthetic state before case</x:v>
      </x:c>
      <x:c r="G36" s="12" t="str">
        <x:v>Change household settings: {"daytime_inactivity_seconds": 300}
Set local minute to 600
Set home mode to AWAY
Advance simulated clock by 300 seconds</x:v>
      </x:c>
      <x:c r="H36" s="12" t="str">
        <x:v>timeline where {"kind": "DAYTIME_INACTIVITY"} count = 0
home.mode = AWAY</x:v>
      </x:c>
      <x:c r="I36" s="12" t="str">
        <x:v>Automated + Manual</x:v>
      </x:c>
      <x:c r="J36" s="12" t="str">
        <x:v>PASS</x:v>
      </x:c>
      <x:c r="K36" s="12" t="str">
        <x:v>Not Run</x:v>
      </x:c>
      <x:c r="L36" s="12" t="str">
        <x:v>tests/functional/scenario_catalog.json</x:v>
      </x:c>
      <x:c r="M36" s="12" t="str"/>
      <x:c r="N36" s="12" t="str"/>
      <x:c r="O36" s="40" t="str"/>
    </x:row>
    <x:row r="37">
      <x:c r="A37" s="12" t="str">
        <x:v>FNC-036</x:v>
      </x:c>
      <x:c r="B37" s="12" t="str">
        <x:v>Connected Functional</x:v>
      </x:c>
      <x:c r="C37" s="12" t="str">
        <x:v>inactivity</x:v>
      </x:c>
      <x:c r="D37" s="12" t="str">
        <x:v>Daytime inactivity is suppressed in PAUSED mode</x:v>
      </x:c>
      <x:c r="E37" s="12" t="str">
        <x:v>F10</x:v>
      </x:c>
      <x:c r="F37" s="12" t="str">
        <x:v>Reset synthetic state before case</x:v>
      </x:c>
      <x:c r="G37" s="12" t="str">
        <x:v>Change household settings: {"daytime_inactivity_seconds": 300}
Set local minute to 600
Set home mode to PAUSED
Advance simulated clock by 300 seconds</x:v>
      </x:c>
      <x:c r="H37" s="12" t="str">
        <x:v>timeline where {"kind": "DAYTIME_INACTIVITY"} count = 0
home.mode = PAUSED</x:v>
      </x:c>
      <x:c r="I37" s="12" t="str">
        <x:v>Automated + Manual</x:v>
      </x:c>
      <x:c r="J37" s="12" t="str">
        <x:v>PASS</x:v>
      </x:c>
      <x:c r="K37" s="12" t="str">
        <x:v>Not Run</x:v>
      </x:c>
      <x:c r="L37" s="12" t="str">
        <x:v>tests/functional/scenario_catalog.json</x:v>
      </x:c>
      <x:c r="M37" s="12" t="str"/>
      <x:c r="N37" s="12" t="str"/>
      <x:c r="O37" s="40" t="str"/>
    </x:row>
    <x:row r="38">
      <x:c r="A38" s="12" t="str">
        <x:v>FNC-037</x:v>
      </x:c>
      <x:c r="B38" s="12" t="str">
        <x:v>Connected Functional</x:v>
      </x:c>
      <x:c r="C38" s="12" t="str">
        <x:v>inactivity</x:v>
      </x:c>
      <x:c r="D38" s="12" t="str">
        <x:v>Daytime inactivity is suppressed in VISITOR mode</x:v>
      </x:c>
      <x:c r="E38" s="12" t="str">
        <x:v>F10</x:v>
      </x:c>
      <x:c r="F38" s="12" t="str">
        <x:v>Reset synthetic state before case</x:v>
      </x:c>
      <x:c r="G38" s="12" t="str">
        <x:v>Change household settings: {"daytime_inactivity_seconds": 300}
Set local minute to 600
Set home mode to VISITOR
Advance simulated clock by 300 seconds</x:v>
      </x:c>
      <x:c r="H38" s="12" t="str">
        <x:v>timeline where {"kind": "DAYTIME_INACTIVITY"} count = 0
home.mode = VISITOR</x:v>
      </x:c>
      <x:c r="I38" s="12" t="str">
        <x:v>Automated + Manual</x:v>
      </x:c>
      <x:c r="J38" s="12" t="str">
        <x:v>PASS</x:v>
      </x:c>
      <x:c r="K38" s="12" t="str">
        <x:v>Not Run</x:v>
      </x:c>
      <x:c r="L38" s="12" t="str">
        <x:v>tests/functional/scenario_catalog.json</x:v>
      </x:c>
      <x:c r="M38" s="12" t="str"/>
      <x:c r="N38" s="12" t="str"/>
      <x:c r="O38" s="40" t="str"/>
    </x:row>
    <x:row r="39">
      <x:c r="A39" s="12" t="str">
        <x:v>FNC-038</x:v>
      </x:c>
      <x:c r="B39" s="12" t="str">
        <x:v>Connected Functional</x:v>
      </x:c>
      <x:c r="C39" s="12" t="str">
        <x:v>inactivity</x:v>
      </x:c>
      <x:c r="D39" s="12" t="str">
        <x:v>Daytime inactivity is suppressed when observation coverage is unavailable</x:v>
      </x:c>
      <x:c r="E39" s="12" t="str">
        <x:v>E01</x:v>
      </x:c>
      <x:c r="F39" s="12" t="str">
        <x:v>Reset synthetic state before case</x:v>
      </x:c>
      <x:c r="G39" s="12" t="str">
        <x:v>Change household settings: {"daytime_inactivity_seconds": 300}
Set local minute to 600
{"action": "node", "enabled": false, "node": "kitchen"}
Advance simulated clock by 300 seconds</x:v>
      </x:c>
      <x:c r="H39" s="12" t="str">
        <x:v>timeline where {"kind": "DAYTIME_INACTIVITY"} count = 0</x:v>
      </x:c>
      <x:c r="I39" s="12" t="str">
        <x:v>Automated + Manual</x:v>
      </x:c>
      <x:c r="J39" s="12" t="str">
        <x:v>PASS</x:v>
      </x:c>
      <x:c r="K39" s="12" t="str">
        <x:v>Not Run</x:v>
      </x:c>
      <x:c r="L39" s="12" t="str">
        <x:v>tests/functional/scenario_catalog.json</x:v>
      </x:c>
      <x:c r="M39" s="12" t="str"/>
      <x:c r="N39" s="12" t="str"/>
      <x:c r="O39" s="40" t="str"/>
    </x:row>
    <x:row r="40">
      <x:c r="A40" s="12" t="str">
        <x:v>FNC-039</x:v>
      </x:c>
      <x:c r="B40" s="12" t="str">
        <x:v>Connected Functional</x:v>
      </x:c>
      <x:c r="C40" s="12" t="str">
        <x:v>inactivity</x:v>
      </x:c>
      <x:c r="D40" s="12" t="str">
        <x:v>Daytime inactivity is suppressed when time is untrusted</x:v>
      </x:c>
      <x:c r="E40" s="12" t="str">
        <x:v>E06</x:v>
      </x:c>
      <x:c r="F40" s="12" t="str">
        <x:v>Reset synthetic state before case</x:v>
      </x:c>
      <x:c r="G40" s="12" t="str">
        <x:v>Change household settings: {"daytime_inactivity_seconds": 300}
Set local minute to 600
Set trusted clock disabled
Advance simulated clock by 300 seconds</x:v>
      </x:c>
      <x:c r="H40" s="12" t="str">
        <x:v>timeline where {"kind": "DAYTIME_INACTIVITY"} count = 0</x:v>
      </x:c>
      <x:c r="I40" s="12" t="str">
        <x:v>Automated + Manual</x:v>
      </x:c>
      <x:c r="J40" s="12" t="str">
        <x:v>PASS</x:v>
      </x:c>
      <x:c r="K40" s="12" t="str">
        <x:v>Not Run</x:v>
      </x:c>
      <x:c r="L40" s="12" t="str">
        <x:v>tests/functional/scenario_catalog.json</x:v>
      </x:c>
      <x:c r="M40" s="12" t="str"/>
      <x:c r="N40" s="12" t="str"/>
      <x:c r="O40" s="40" t="str"/>
    </x:row>
    <x:row r="41">
      <x:c r="A41" s="12" t="str">
        <x:v>FNC-040</x:v>
      </x:c>
      <x:c r="B41" s="12" t="str">
        <x:v>Connected Functional</x:v>
      </x:c>
      <x:c r="C41" s="12" t="str">
        <x:v>inactivity</x:v>
      </x:c>
      <x:c r="D41" s="12" t="str">
        <x:v>Daytime inactivity does not fire outside configured daytime window</x:v>
      </x:c>
      <x:c r="E41" s="12" t="str">
        <x:v>E06</x:v>
      </x:c>
      <x:c r="F41" s="12" t="str">
        <x:v>Reset synthetic state before case</x:v>
      </x:c>
      <x:c r="G41" s="12" t="str">
        <x:v>Change household settings: {"daytime_inactivity_seconds": 300}
Set local minute to 1380
Advance simulated clock by 300 seconds</x:v>
      </x:c>
      <x:c r="H41" s="12" t="str">
        <x:v>timeline where {"kind": "DAYTIME_INACTIVITY"} count = 0</x:v>
      </x:c>
      <x:c r="I41" s="12" t="str">
        <x:v>Automated + Manual</x:v>
      </x:c>
      <x:c r="J41" s="12" t="str">
        <x:v>PASS</x:v>
      </x:c>
      <x:c r="K41" s="12" t="str">
        <x:v>Not Run</x:v>
      </x:c>
      <x:c r="L41" s="12" t="str">
        <x:v>tests/functional/scenario_catalog.json</x:v>
      </x:c>
      <x:c r="M41" s="12" t="str"/>
      <x:c r="N41" s="12" t="str"/>
      <x:c r="O41" s="40" t="str"/>
    </x:row>
    <x:row r="42">
      <x:c r="A42" s="12" t="str">
        <x:v>FNC-041</x:v>
      </x:c>
      <x:c r="B42" s="12" t="str">
        <x:v>Connected Functional</x:v>
      </x:c>
      <x:c r="C42" s="12" t="str">
        <x:v>transport</x:v>
      </x:c>
      <x:c r="D42" s="12" t="str">
        <x:v>WAN loss keeps local evidence while backend view is stale</x:v>
      </x:c>
      <x:c r="E42" s="12" t="str">
        <x:v>E03, E04</x:v>
      </x:c>
      <x:c r="F42" s="12" t="str">
        <x:v>Reset synthetic state before case</x:v>
      </x:c>
      <x:c r="G42" s="12" t="str">
        <x:v>Set WAN disabled
Inject MOTION from kitchen
Advance simulated clock by 240 seconds</x:v>
      </x:c>
      <x:c r="H42" s="12" t="str">
        <x:v>simulation.activity_seen is true/non-empty
{"gt": 0, "path": "simulation.pending_cloud"}
home.hub_reachable = False
timeline where {"kind": "MOTION"} count = 0</x:v>
      </x:c>
      <x:c r="I42" s="12" t="str">
        <x:v>Automated + Manual</x:v>
      </x:c>
      <x:c r="J42" s="12" t="str">
        <x:v>PASS</x:v>
      </x:c>
      <x:c r="K42" s="12" t="str">
        <x:v>Not Run</x:v>
      </x:c>
      <x:c r="L42" s="12" t="str">
        <x:v>tests/functional/scenario_catalog.json</x:v>
      </x:c>
      <x:c r="M42" s="12" t="str"/>
      <x:c r="N42" s="12" t="str"/>
      <x:c r="O42" s="40" t="str"/>
    </x:row>
    <x:row r="43">
      <x:c r="A43" s="12" t="str">
        <x:v>FNC-042</x:v>
      </x:c>
      <x:c r="B43" s="12" t="str">
        <x:v>Connected Functional</x:v>
      </x:c>
      <x:c r="C43" s="12" t="str">
        <x:v>transport</x:v>
      </x:c>
      <x:c r="D43" s="12" t="str">
        <x:v>WAN reconnect replays pending event exactly once</x:v>
      </x:c>
      <x:c r="E43" s="12" t="str">
        <x:v>E02, E03</x:v>
      </x:c>
      <x:c r="F43" s="12" t="str">
        <x:v>Reset synthetic state before case</x:v>
      </x:c>
      <x:c r="G43" s="12" t="str">
        <x:v>Set WAN disabled
Inject MOTION from kitchen
Set WAN enabled</x:v>
      </x:c>
      <x:c r="H43" s="12" t="str">
        <x:v>simulation.pending_cloud = 0
timeline where {"kind": "MOTION"} count = 1</x:v>
      </x:c>
      <x:c r="I43" s="12" t="str">
        <x:v>Automated + Manual</x:v>
      </x:c>
      <x:c r="J43" s="12" t="str">
        <x:v>PASS</x:v>
      </x:c>
      <x:c r="K43" s="12" t="str">
        <x:v>Not Run</x:v>
      </x:c>
      <x:c r="L43" s="12" t="str">
        <x:v>tests/functional/scenario_catalog.json</x:v>
      </x:c>
      <x:c r="M43" s="12" t="str"/>
      <x:c r="N43" s="12" t="str"/>
      <x:c r="O43" s="40" t="str"/>
    </x:row>
    <x:row r="44">
      <x:c r="A44" s="12" t="str">
        <x:v>FNC-043</x:v>
      </x:c>
      <x:c r="B44" s="12" t="str">
        <x:v>Connected Functional</x:v>
      </x:c>
      <x:c r="C44" s="12" t="str">
        <x:v>transport</x:v>
      </x:c>
      <x:c r="D44" s="12" t="str">
        <x:v>Node link recovery replays retained event exactly once</x:v>
      </x:c>
      <x:c r="E44" s="12" t="str">
        <x:v>E02</x:v>
      </x:c>
      <x:c r="F44" s="12" t="str">
        <x:v>Reset synthetic state before case</x:v>
      </x:c>
      <x:c r="G44" s="12" t="str">
        <x:v>{"action": "node", "enabled": false, "node": "kitchen"}
Inject MOTION from kitchen
{"action": "node", "enabled": true, "node": "kitchen"}</x:v>
      </x:c>
      <x:c r="H44" s="12" t="str">
        <x:v>timeline where {"kind": "MOTION"} count = 1
simulation.nodes.1.retained = 0</x:v>
      </x:c>
      <x:c r="I44" s="12" t="str">
        <x:v>Automated + Manual</x:v>
      </x:c>
      <x:c r="J44" s="12" t="str">
        <x:v>PASS</x:v>
      </x:c>
      <x:c r="K44" s="12" t="str">
        <x:v>Not Run</x:v>
      </x:c>
      <x:c r="L44" s="12" t="str">
        <x:v>tests/functional/scenario_catalog.json</x:v>
      </x:c>
      <x:c r="M44" s="12" t="str"/>
      <x:c r="N44" s="12" t="str"/>
      <x:c r="O44" s="40" t="str"/>
    </x:row>
    <x:row r="45">
      <x:c r="A45" s="12" t="str">
        <x:v>FNC-044</x:v>
      </x:c>
      <x:c r="B45" s="12" t="str">
        <x:v>Connected Functional</x:v>
      </x:c>
      <x:c r="C45" s="12" t="str">
        <x:v>transport</x:v>
      </x:c>
      <x:c r="D45" s="12" t="str">
        <x:v>Duplicate radio replay is stored once by backend</x:v>
      </x:c>
      <x:c r="E45" s="12" t="str">
        <x:v>E02</x:v>
      </x:c>
      <x:c r="F45" s="12" t="str">
        <x:v>Reset synthetic state before case</x:v>
      </x:c>
      <x:c r="G45" s="12" t="str">
        <x:v>Inject MOTION from kitchen
{"action": "duplicate"}</x:v>
      </x:c>
      <x:c r="H45" s="12" t="str">
        <x:v>timeline where {"kind": "MOTION"} count = 1</x:v>
      </x:c>
      <x:c r="I45" s="12" t="str">
        <x:v>Automated + Manual</x:v>
      </x:c>
      <x:c r="J45" s="12" t="str">
        <x:v>PASS</x:v>
      </x:c>
      <x:c r="K45" s="12" t="str">
        <x:v>Not Run</x:v>
      </x:c>
      <x:c r="L45" s="12" t="str">
        <x:v>tests/functional/scenario_catalog.json</x:v>
      </x:c>
      <x:c r="M45" s="12" t="str"/>
      <x:c r="N45" s="12" t="str"/>
      <x:c r="O45" s="40" t="str"/>
    </x:row>
    <x:row r="46">
      <x:c r="A46" s="12" t="str">
        <x:v>FNC-045</x:v>
      </x:c>
      <x:c r="B46" s="12" t="str">
        <x:v>Connected Functional</x:v>
      </x:c>
      <x:c r="C46" s="12" t="str">
        <x:v>transport</x:v>
      </x:c>
      <x:c r="D46" s="12" t="str">
        <x:v>Call Family survives WAN outage and opens one incident on reconnect</x:v>
      </x:c>
      <x:c r="E46" s="12" t="str">
        <x:v>E03, F07</x:v>
      </x:c>
      <x:c r="F46" s="12" t="str">
        <x:v>Reset synthetic state before case</x:v>
      </x:c>
      <x:c r="G46" s="12" t="str">
        <x:v>Set WAN disabled
Inject CALL_FAMILY from room1
Set WAN enabled</x:v>
      </x:c>
      <x:c r="H46" s="12" t="str">
        <x:v>incidents where {"kind": "CALL_FAMILY"} count = 1</x:v>
      </x:c>
      <x:c r="I46" s="12" t="str">
        <x:v>Automated + Manual</x:v>
      </x:c>
      <x:c r="J46" s="12" t="str">
        <x:v>PASS</x:v>
      </x:c>
      <x:c r="K46" s="12" t="str">
        <x:v>Not Run</x:v>
      </x:c>
      <x:c r="L46" s="12" t="str">
        <x:v>tests/functional/scenario_catalog.json</x:v>
      </x:c>
      <x:c r="M46" s="12" t="str"/>
      <x:c r="N46" s="12" t="str"/>
      <x:c r="O46" s="40" t="str"/>
    </x:row>
    <x:row r="47">
      <x:c r="A47" s="12" t="str">
        <x:v>FNC-046</x:v>
      </x:c>
      <x:c r="B47" s="12" t="str">
        <x:v>Connected Functional</x:v>
      </x:c>
      <x:c r="C47" s="12" t="str">
        <x:v>caregiver</x:v>
      </x:c>
      <x:c r="D47" s="12" t="str">
        <x:v>Notification provider acceptance does not acknowledge incident</x:v>
      </x:c>
      <x:c r="E47" s="12" t="str">
        <x:v>F12, F13</x:v>
      </x:c>
      <x:c r="F47" s="12" t="str">
        <x:v>Reset synthetic state before case</x:v>
      </x:c>
      <x:c r="G47" s="12" t="str">
        <x:v>Advance simulated clock by 1300 seconds
{"action": "notify"}</x:v>
      </x:c>
      <x:c r="H47" s="12" t="str">
        <x:v>incidents where {"kind": "MISSING_MORNING_ACTIVITY", "state": "OPEN"} count = 1
notifications where {"state": "PROVIDER_ACCEPTED"} count &gt;= 1</x:v>
      </x:c>
      <x:c r="I47" s="12" t="str">
        <x:v>Automated + Manual</x:v>
      </x:c>
      <x:c r="J47" s="12" t="str">
        <x:v>PASS</x:v>
      </x:c>
      <x:c r="K47" s="12" t="str">
        <x:v>Not Run</x:v>
      </x:c>
      <x:c r="L47" s="12" t="str">
        <x:v>tests/functional/scenario_catalog.json</x:v>
      </x:c>
      <x:c r="M47" s="12" t="str"/>
      <x:c r="N47" s="12" t="str"/>
      <x:c r="O47" s="40" t="str"/>
    </x:row>
    <x:row r="48">
      <x:c r="A48" s="12" t="str">
        <x:v>FNC-047</x:v>
      </x:c>
      <x:c r="B48" s="12" t="str">
        <x:v>Connected Functional</x:v>
      </x:c>
      <x:c r="C48" s="12" t="str">
        <x:v>caregiver</x:v>
      </x:c>
      <x:c r="D48" s="12" t="str">
        <x:v>Claim acknowledge resolve closes incident and cancels pending routes</x:v>
      </x:c>
      <x:c r="E48" s="12" t="str">
        <x:v>F12, F13</x:v>
      </x:c>
      <x:c r="F48" s="12" t="str">
        <x:v>Reset synthetic state before case</x:v>
      </x:c>
      <x:c r="G48" s="12" t="str">
        <x:v>Advance simulated clock by 1300 seconds
{"as": "iid", "capture": "first_incident"}
{"action": "claim", "incident_id": "$iid"}
{"action": "acknowledge", "incident_id": "$iid"}
{"action": "resolve", "incident_id": "$iid"}</x:v>
      </x:c>
      <x:c r="H48" s="12" t="str">
        <x:v>incidents where {"state": "RESOLVED"} count = 1
notifications where {"state": "CANCELLED"} count = 2</x:v>
      </x:c>
      <x:c r="I48" s="12" t="str">
        <x:v>Automated + Manual</x:v>
      </x:c>
      <x:c r="J48" s="12" t="str">
        <x:v>PASS</x:v>
      </x:c>
      <x:c r="K48" s="12" t="str">
        <x:v>Not Run</x:v>
      </x:c>
      <x:c r="L48" s="12" t="str">
        <x:v>tests/functional/scenario_catalog.json</x:v>
      </x:c>
      <x:c r="M48" s="12" t="str"/>
      <x:c r="N48" s="12" t="str"/>
      <x:c r="O48" s="40" t="str"/>
    </x:row>
    <x:row r="49">
      <x:c r="A49" s="12" t="str">
        <x:v>FNC-048</x:v>
      </x:c>
      <x:c r="B49" s="12" t="str">
        <x:v>Connected Functional</x:v>
      </x:c>
      <x:c r="C49" s="12" t="str">
        <x:v>configuration</x:v>
      </x:c>
      <x:c r="D49" s="12" t="str">
        <x:v>Changing household policy creates a new config version</x:v>
      </x:c>
      <x:c r="E49" s="12" t="str">
        <x:v>E07</x:v>
      </x:c>
      <x:c r="F49" s="12" t="str">
        <x:v>Reset synthetic state before case</x:v>
      </x:c>
      <x:c r="G49" s="12" t="str">
        <x:v>Change household settings: {"door_open_timeout_seconds": 180}</x:v>
      </x:c>
      <x:c r="H49" s="12" t="str">
        <x:v>{"ge": 2, "path": "settings.config_version"}
settings.door_open_timeout_seconds = 180</x:v>
      </x:c>
      <x:c r="I49" s="12" t="str">
        <x:v>Automated + Manual</x:v>
      </x:c>
      <x:c r="J49" s="12" t="str">
        <x:v>PASS</x:v>
      </x:c>
      <x:c r="K49" s="12" t="str">
        <x:v>Not Run</x:v>
      </x:c>
      <x:c r="L49" s="12" t="str">
        <x:v>tests/functional/scenario_catalog.json</x:v>
      </x:c>
      <x:c r="M49" s="12" t="str"/>
      <x:c r="N49" s="12" t="str"/>
      <x:c r="O49" s="40" t="str"/>
    </x:row>
    <x:row r="50">
      <x:c r="A50" s="12" t="str">
        <x:v>FNC-049</x:v>
      </x:c>
      <x:c r="B50" s="12" t="str">
        <x:v>Connected Functional</x:v>
      </x:c>
      <x:c r="C50" s="12" t="str">
        <x:v>negative</x:v>
      </x:c>
      <x:c r="D50" s="12" t="str">
        <x:v>User-facing privacy event is not accepted by simulator controls</x:v>
      </x:c>
      <x:c r="E50" s="12" t="str">
        <x:v>F02</x:v>
      </x:c>
      <x:c r="F50" s="12" t="str">
        <x:v>Reset synthetic state before case</x:v>
      </x:c>
      <x:c r="G50" s="12" t="str">
        <x:v>Inject PRIVACY_ON from room1</x:v>
      </x:c>
      <x:c r="H50" s="12" t="str"/>
      <x:c r="I50" s="12" t="str">
        <x:v>Automated + Manual</x:v>
      </x:c>
      <x:c r="J50" s="12" t="str">
        <x:v>PASS</x:v>
      </x:c>
      <x:c r="K50" s="12" t="str">
        <x:v>Not Run</x:v>
      </x:c>
      <x:c r="L50" s="12" t="str">
        <x:v>tests/functional/scenario_catalog.json</x:v>
      </x:c>
      <x:c r="M50" s="12" t="str"/>
      <x:c r="N50" s="12" t="str"/>
      <x:c r="O50" s="40" t="str"/>
    </x:row>
    <x:row r="51">
      <x:c r="A51" s="12" t="str">
        <x:v>FNC-050</x:v>
      </x:c>
      <x:c r="B51" s="12" t="str">
        <x:v>Connected Functional</x:v>
      </x:c>
      <x:c r="C51" s="12" t="str">
        <x:v>negative</x:v>
      </x:c>
      <x:c r="D51" s="12" t="str">
        <x:v>Sensor capability mismatch is rejected</x:v>
      </x:c>
      <x:c r="E51" s="12" t="str">
        <x:v>E07</x:v>
      </x:c>
      <x:c r="F51" s="12" t="str">
        <x:v>Reset synthetic state before case</x:v>
      </x:c>
      <x:c r="G51" s="12" t="str">
        <x:v>Inject DOOR_OPEN from kitchen</x:v>
      </x:c>
      <x:c r="H51" s="12" t="str"/>
      <x:c r="I51" s="12" t="str">
        <x:v>Automated + Manual</x:v>
      </x:c>
      <x:c r="J51" s="12" t="str">
        <x:v>PASS</x:v>
      </x:c>
      <x:c r="K51" s="12" t="str">
        <x:v>Not Run</x:v>
      </x:c>
      <x:c r="L51" s="12" t="str">
        <x:v>tests/functional/scenario_catalog.json</x:v>
      </x:c>
      <x:c r="M51" s="12" t="str"/>
      <x:c r="N51" s="12" t="str"/>
      <x:c r="O51" s="40" t="str"/>
    </x:row>
    <x:row r="52">
      <x:c r="A52" s="12" t="str">
        <x:v>FNC-051</x:v>
      </x:c>
      <x:c r="B52" s="12" t="str">
        <x:v>Connected Functional</x:v>
      </x:c>
      <x:c r="C52" s="12" t="str">
        <x:v>negative</x:v>
      </x:c>
      <x:c r="D52" s="12" t="str">
        <x:v>Resident button event cannot be injected through door sensor</x:v>
      </x:c>
      <x:c r="E52" s="12" t="str">
        <x:v>E07</x:v>
      </x:c>
      <x:c r="F52" s="12" t="str">
        <x:v>Reset synthetic state before case</x:v>
      </x:c>
      <x:c r="G52" s="12" t="str">
        <x:v>Inject OK_PRESSED from entry</x:v>
      </x:c>
      <x:c r="H52" s="12" t="str"/>
      <x:c r="I52" s="12" t="str">
        <x:v>Automated + Manual</x:v>
      </x:c>
      <x:c r="J52" s="12" t="str">
        <x:v>PASS</x:v>
      </x:c>
      <x:c r="K52" s="12" t="str">
        <x:v>Not Run</x:v>
      </x:c>
      <x:c r="L52" s="12" t="str">
        <x:v>tests/functional/scenario_catalog.json</x:v>
      </x:c>
      <x:c r="M52" s="12" t="str"/>
      <x:c r="N52" s="12" t="str"/>
      <x:c r="O52" s="40" t="str"/>
    </x:row>
    <x:row r="53">
      <x:c r="A53" s="12" t="str">
        <x:v>FNC-052</x:v>
      </x:c>
      <x:c r="B53" s="12" t="str">
        <x:v>Connected Functional</x:v>
      </x:c>
      <x:c r="C53" s="12" t="str">
        <x:v>negative</x:v>
      </x:c>
      <x:c r="D53" s="12" t="str">
        <x:v>Negative simulated time advance is rejected</x:v>
      </x:c>
      <x:c r="E53" s="12" t="str">
        <x:v>NFR-08</x:v>
      </x:c>
      <x:c r="F53" s="12" t="str">
        <x:v>Reset synthetic state before case</x:v>
      </x:c>
      <x:c r="G53" s="12" t="str">
        <x:v>Advance simulated clock by -1 seconds</x:v>
      </x:c>
      <x:c r="H53" s="12" t="str"/>
      <x:c r="I53" s="12" t="str">
        <x:v>Automated + Manual</x:v>
      </x:c>
      <x:c r="J53" s="12" t="str">
        <x:v>PASS</x:v>
      </x:c>
      <x:c r="K53" s="12" t="str">
        <x:v>Not Run</x:v>
      </x:c>
      <x:c r="L53" s="12" t="str">
        <x:v>tests/functional/scenario_catalog.json</x:v>
      </x:c>
      <x:c r="M53" s="12" t="str"/>
      <x:c r="N53" s="12" t="str"/>
      <x:c r="O53" s="40" t="str"/>
    </x:row>
    <x:row r="54">
      <x:c r="A54" s="12" t="str">
        <x:v>FNC-053</x:v>
      </x:c>
      <x:c r="B54" s="12" t="str">
        <x:v>Connected Functional</x:v>
      </x:c>
      <x:c r="C54" s="12" t="str">
        <x:v>negative</x:v>
      </x:c>
      <x:c r="D54" s="12" t="str">
        <x:v>Invalid local minute is rejected</x:v>
      </x:c>
      <x:c r="E54" s="12" t="str">
        <x:v>E06</x:v>
      </x:c>
      <x:c r="F54" s="12" t="str">
        <x:v>Reset synthetic state before case</x:v>
      </x:c>
      <x:c r="G54" s="12" t="str">
        <x:v>Set local minute to 1440</x:v>
      </x:c>
      <x:c r="H54" s="12" t="str"/>
      <x:c r="I54" s="12" t="str">
        <x:v>Automated + Manual</x:v>
      </x:c>
      <x:c r="J54" s="12" t="str">
        <x:v>PASS</x:v>
      </x:c>
      <x:c r="K54" s="12" t="str">
        <x:v>Not Run</x:v>
      </x:c>
      <x:c r="L54" s="12" t="str">
        <x:v>tests/functional/scenario_catalog.json</x:v>
      </x:c>
      <x:c r="M54" s="12" t="str"/>
      <x:c r="N54" s="12" t="str"/>
      <x:c r="O54" s="40" t="str"/>
    </x:row>
    <x:row r="55">
      <x:c r="A55" s="12" t="str">
        <x:v>FNC-054</x:v>
      </x:c>
      <x:c r="B55" s="12" t="str">
        <x:v>Connected Functional</x:v>
      </x:c>
      <x:c r="C55" s="12" t="str">
        <x:v>negative</x:v>
      </x:c>
      <x:c r="D55" s="12" t="str">
        <x:v>Unsupported mode is rejected</x:v>
      </x:c>
      <x:c r="E55" s="12" t="str">
        <x:v>F10</x:v>
      </x:c>
      <x:c r="F55" s="12" t="str">
        <x:v>Reset synthetic state before case</x:v>
      </x:c>
      <x:c r="G55" s="12" t="str">
        <x:v>Set home mode to PRIVACY</x:v>
      </x:c>
      <x:c r="H55" s="12" t="str"/>
      <x:c r="I55" s="12" t="str">
        <x:v>Automated + Manual</x:v>
      </x:c>
      <x:c r="J55" s="12" t="str">
        <x:v>PASS</x:v>
      </x:c>
      <x:c r="K55" s="12" t="str">
        <x:v>Not Run</x:v>
      </x:c>
      <x:c r="L55" s="12" t="str">
        <x:v>tests/functional/scenario_catalog.json</x:v>
      </x:c>
      <x:c r="M55" s="12" t="str"/>
      <x:c r="N55" s="12" t="str"/>
      <x:c r="O55" s="40" t="str"/>
    </x:row>
    <x:row r="56">
      <x:c r="A56" s="12" t="str">
        <x:v>FNC-055</x:v>
      </x:c>
      <x:c r="B56" s="12" t="str">
        <x:v>Connected Functional</x:v>
      </x:c>
      <x:c r="C56" s="12" t="str">
        <x:v>negative</x:v>
      </x:c>
      <x:c r="D56" s="12" t="str">
        <x:v>Unsafe door timeout setting is rejected</x:v>
      </x:c>
      <x:c r="E56" s="12" t="str">
        <x:v>E07</x:v>
      </x:c>
      <x:c r="F56" s="12" t="str">
        <x:v>Reset synthetic state before case</x:v>
      </x:c>
      <x:c r="G56" s="12" t="str">
        <x:v>Change household settings: {"door_open_timeout_seconds": 20}</x:v>
      </x:c>
      <x:c r="H56" s="12" t="str"/>
      <x:c r="I56" s="12" t="str">
        <x:v>Automated + Manual</x:v>
      </x:c>
      <x:c r="J56" s="12" t="str">
        <x:v>PASS</x:v>
      </x:c>
      <x:c r="K56" s="12" t="str">
        <x:v>Not Run</x:v>
      </x:c>
      <x:c r="L56" s="12" t="str">
        <x:v>tests/functional/scenario_catalog.json</x:v>
      </x:c>
      <x:c r="M56" s="12" t="str"/>
      <x:c r="N56" s="12" t="str"/>
      <x:c r="O56" s="40" t="str"/>
    </x:row>
    <x:row r="57">
      <x:c r="A57" s="12" t="str">
        <x:v>FNC-056</x:v>
      </x:c>
      <x:c r="B57" s="12" t="str">
        <x:v>Connected Functional</x:v>
      </x:c>
      <x:c r="C57" s="12" t="str">
        <x:v>negative</x:v>
      </x:c>
      <x:c r="D57" s="12" t="str">
        <x:v>Unsafe inactivity threshold is rejected</x:v>
      </x:c>
      <x:c r="E57" s="12" t="str">
        <x:v>E07</x:v>
      </x:c>
      <x:c r="F57" s="12" t="str">
        <x:v>Reset synthetic state before case</x:v>
      </x:c>
      <x:c r="G57" s="12" t="str">
        <x:v>Change household settings: {"daytime_inactivity_seconds": 200}</x:v>
      </x:c>
      <x:c r="H57" s="12" t="str"/>
      <x:c r="I57" s="12" t="str">
        <x:v>Automated + Manual</x:v>
      </x:c>
      <x:c r="J57" s="12" t="str">
        <x:v>PASS</x:v>
      </x:c>
      <x:c r="K57" s="12" t="str">
        <x:v>Not Run</x:v>
      </x:c>
      <x:c r="L57" s="12" t="str">
        <x:v>tests/functional/scenario_catalog.json</x:v>
      </x:c>
      <x:c r="M57" s="12" t="str"/>
      <x:c r="N57" s="12" t="str"/>
      <x:c r="O57" s="40" t="str"/>
    </x:row>
    <x:row r="58">
      <x:c r="A58" s="12" t="str">
        <x:v>FNC-057</x:v>
      </x:c>
      <x:c r="B58" s="12" t="str">
        <x:v>Connected Functional</x:v>
      </x:c>
      <x:c r="C58" s="12" t="str">
        <x:v>negative</x:v>
      </x:c>
      <x:c r="D58" s="12" t="str">
        <x:v>Unknown node cannot inject sensor data</x:v>
      </x:c>
      <x:c r="E58" s="12" t="str">
        <x:v>E07</x:v>
      </x:c>
      <x:c r="F58" s="12" t="str">
        <x:v>Reset synthetic state before case</x:v>
      </x:c>
      <x:c r="G58" s="12" t="str">
        <x:v>Inject MOTION from garage</x:v>
      </x:c>
      <x:c r="H58" s="12" t="str"/>
      <x:c r="I58" s="12" t="str">
        <x:v>Automated + Manual</x:v>
      </x:c>
      <x:c r="J58" s="12" t="str">
        <x:v>PASS</x:v>
      </x:c>
      <x:c r="K58" s="12" t="str">
        <x:v>Not Run</x:v>
      </x:c>
      <x:c r="L58" s="12" t="str">
        <x:v>tests/functional/scenario_catalog.json</x:v>
      </x:c>
      <x:c r="M58" s="12" t="str"/>
      <x:c r="N58" s="12" t="str"/>
      <x:c r="O58" s="40" t="str"/>
    </x:row>
    <x:row r="59">
      <x:c r="A59" s="12" t="str">
        <x:v>FNC-058</x:v>
      </x:c>
      <x:c r="B59" s="12" t="str">
        <x:v>Connected Functional</x:v>
      </x:c>
      <x:c r="C59" s="12" t="str">
        <x:v>diagnostics</x:v>
      </x:c>
      <x:c r="D59" s="12" t="str">
        <x:v>Node fault LOW_BATTERY maps to stable diagnostics</x:v>
      </x:c>
      <x:c r="E59" s="12" t="str">
        <x:v>E01, E10</x:v>
      </x:c>
      <x:c r="F59" s="12" t="str">
        <x:v>Reset synthetic state before case</x:v>
      </x:c>
      <x:c r="G59" s="12" t="str">
        <x:v>Inject LOW_BATTERY on None
Run Troubleshoot on None</x:v>
      </x:c>
      <x:c r="H59" s="12" t="str">
        <x:v>devices where {"active": true, "code": "GS-N001", "health": "DEGRADED", "id": "kitchen"} count = 1</x:v>
      </x:c>
      <x:c r="I59" s="12" t="str">
        <x:v>Automated + Manual</x:v>
      </x:c>
      <x:c r="J59" s="12" t="str">
        <x:v>PASS</x:v>
      </x:c>
      <x:c r="K59" s="12" t="str">
        <x:v>Not Run</x:v>
      </x:c>
      <x:c r="L59" s="12" t="str">
        <x:v>tests/functional/scenario_catalog.json</x:v>
      </x:c>
      <x:c r="M59" s="12" t="str"/>
      <x:c r="N59" s="12" t="str"/>
      <x:c r="O59" s="40" t="str"/>
    </x:row>
    <x:row r="60">
      <x:c r="A60" s="12" t="str">
        <x:v>FNC-059</x:v>
      </x:c>
      <x:c r="B60" s="12" t="str">
        <x:v>Connected Functional</x:v>
      </x:c>
      <x:c r="C60" s="12" t="str">
        <x:v>diagnostics</x:v>
      </x:c>
      <x:c r="D60" s="12" t="str">
        <x:v>Node fault BATTERY_DEPLETED maps to stable diagnostics</x:v>
      </x:c>
      <x:c r="E60" s="12" t="str">
        <x:v>E01, E10</x:v>
      </x:c>
      <x:c r="F60" s="12" t="str">
        <x:v>Reset synthetic state before case</x:v>
      </x:c>
      <x:c r="G60" s="12" t="str">
        <x:v>Inject BATTERY_DEPLETED on None
Run Troubleshoot on None</x:v>
      </x:c>
      <x:c r="H60" s="12" t="str">
        <x:v>devices where {"active": false, "code": "GS-N002", "health": "OFFLINE", "id": "kitchen"} count = 1</x:v>
      </x:c>
      <x:c r="I60" s="12" t="str">
        <x:v>Automated + Manual</x:v>
      </x:c>
      <x:c r="J60" s="12" t="str">
        <x:v>PASS</x:v>
      </x:c>
      <x:c r="K60" s="12" t="str">
        <x:v>Not Run</x:v>
      </x:c>
      <x:c r="L60" s="12" t="str">
        <x:v>tests/functional/scenario_catalog.json</x:v>
      </x:c>
      <x:c r="M60" s="12" t="str"/>
      <x:c r="N60" s="12" t="str"/>
      <x:c r="O60" s="40" t="str"/>
    </x:row>
    <x:row r="61">
      <x:c r="A61" s="12" t="str">
        <x:v>FNC-060</x:v>
      </x:c>
      <x:c r="B61" s="12" t="str">
        <x:v>Connected Functional</x:v>
      </x:c>
      <x:c r="C61" s="12" t="str">
        <x:v>diagnostics</x:v>
      </x:c>
      <x:c r="D61" s="12" t="str">
        <x:v>Node fault LINK_LOSS maps to stable diagnostics and reboot recovery</x:v>
      </x:c>
      <x:c r="E61" s="12" t="str">
        <x:v>E01, E10</x:v>
      </x:c>
      <x:c r="F61" s="12" t="str">
        <x:v>Reset synthetic state before case</x:v>
      </x:c>
      <x:c r="G61" s="12" t="str">
        <x:v>Inject LINK_LOSS on None
Run Troubleshoot on None
Run Reboot on None</x:v>
      </x:c>
      <x:c r="H61" s="12" t="str">
        <x:v>devices where {"active": true, "code": "GS-OK000", "health": "ACTIVE", "id": "kitchen"} count = 1</x:v>
      </x:c>
      <x:c r="I61" s="12" t="str">
        <x:v>Automated + Manual</x:v>
      </x:c>
      <x:c r="J61" s="12" t="str">
        <x:v>PASS</x:v>
      </x:c>
      <x:c r="K61" s="12" t="str">
        <x:v>Not Run</x:v>
      </x:c>
      <x:c r="L61" s="12" t="str">
        <x:v>tests/functional/scenario_catalog.json</x:v>
      </x:c>
      <x:c r="M61" s="12" t="str"/>
      <x:c r="N61" s="12" t="str"/>
      <x:c r="O61" s="40" t="str"/>
    </x:row>
    <x:row r="62">
      <x:c r="A62" s="12" t="str">
        <x:v>FNC-061</x:v>
      </x:c>
      <x:c r="B62" s="12" t="str">
        <x:v>Connected Functional</x:v>
      </x:c>
      <x:c r="C62" s="12" t="str">
        <x:v>diagnostics</x:v>
      </x:c>
      <x:c r="D62" s="12" t="str">
        <x:v>Node fault SENSOR_FAULT maps to stable diagnostics</x:v>
      </x:c>
      <x:c r="E62" s="12" t="str">
        <x:v>E01, E10</x:v>
      </x:c>
      <x:c r="F62" s="12" t="str">
        <x:v>Reset synthetic state before case</x:v>
      </x:c>
      <x:c r="G62" s="12" t="str">
        <x:v>Inject SENSOR_FAULT on None
Run Troubleshoot on None</x:v>
      </x:c>
      <x:c r="H62" s="12" t="str">
        <x:v>devices where {"active": true, "code": "GS-N004", "health": "DEGRADED", "id": "kitchen"} count = 1</x:v>
      </x:c>
      <x:c r="I62" s="12" t="str">
        <x:v>Automated + Manual</x:v>
      </x:c>
      <x:c r="J62" s="12" t="str">
        <x:v>PASS</x:v>
      </x:c>
      <x:c r="K62" s="12" t="str">
        <x:v>Not Run</x:v>
      </x:c>
      <x:c r="L62" s="12" t="str">
        <x:v>tests/functional/scenario_catalog.json</x:v>
      </x:c>
      <x:c r="M62" s="12" t="str"/>
      <x:c r="N62" s="12" t="str"/>
      <x:c r="O62" s="40" t="str"/>
    </x:row>
    <x:row r="63">
      <x:c r="A63" s="12" t="str">
        <x:v>FNC-062</x:v>
      </x:c>
      <x:c r="B63" s="12" t="str">
        <x:v>Connected Functional</x:v>
      </x:c>
      <x:c r="C63" s="12" t="str">
        <x:v>diagnostics</x:v>
      </x:c>
      <x:c r="D63" s="12" t="str">
        <x:v>Node fault OVER_TEMP maps to stable diagnostics</x:v>
      </x:c>
      <x:c r="E63" s="12" t="str">
        <x:v>E01, E10</x:v>
      </x:c>
      <x:c r="F63" s="12" t="str">
        <x:v>Reset synthetic state before case</x:v>
      </x:c>
      <x:c r="G63" s="12" t="str">
        <x:v>Inject OVER_TEMP on None
Run Troubleshoot on None</x:v>
      </x:c>
      <x:c r="H63" s="12" t="str">
        <x:v>devices where {"active": false, "code": "GS-N005", "health": "OFFLINE", "id": "kitchen"} count = 1</x:v>
      </x:c>
      <x:c r="I63" s="12" t="str">
        <x:v>Automated + Manual</x:v>
      </x:c>
      <x:c r="J63" s="12" t="str">
        <x:v>PASS</x:v>
      </x:c>
      <x:c r="K63" s="12" t="str">
        <x:v>Not Run</x:v>
      </x:c>
      <x:c r="L63" s="12" t="str">
        <x:v>tests/functional/scenario_catalog.json</x:v>
      </x:c>
      <x:c r="M63" s="12" t="str"/>
      <x:c r="N63" s="12" t="str"/>
      <x:c r="O63" s="40" t="str"/>
    </x:row>
    <x:row r="64">
      <x:c r="A64" s="12" t="str">
        <x:v>FNC-063</x:v>
      </x:c>
      <x:c r="B64" s="12" t="str">
        <x:v>Connected Functional</x:v>
      </x:c>
      <x:c r="C64" s="12" t="str">
        <x:v>diagnostics</x:v>
      </x:c>
      <x:c r="D64" s="12" t="str">
        <x:v>Node fault WATCHDOG maps to stable diagnostics and reboot recovery</x:v>
      </x:c>
      <x:c r="E64" s="12" t="str">
        <x:v>E01, E10</x:v>
      </x:c>
      <x:c r="F64" s="12" t="str">
        <x:v>Reset synthetic state before case</x:v>
      </x:c>
      <x:c r="G64" s="12" t="str">
        <x:v>Inject WATCHDOG on None
Run Troubleshoot on None
Run Reboot on None</x:v>
      </x:c>
      <x:c r="H64" s="12" t="str">
        <x:v>devices where {"active": true, "code": "GS-OK000", "health": "ACTIVE", "id": "kitchen"} count = 1</x:v>
      </x:c>
      <x:c r="I64" s="12" t="str">
        <x:v>Automated + Manual</x:v>
      </x:c>
      <x:c r="J64" s="12" t="str">
        <x:v>PASS</x:v>
      </x:c>
      <x:c r="K64" s="12" t="str">
        <x:v>Not Run</x:v>
      </x:c>
      <x:c r="L64" s="12" t="str">
        <x:v>tests/functional/scenario_catalog.json</x:v>
      </x:c>
      <x:c r="M64" s="12" t="str"/>
      <x:c r="N64" s="12" t="str"/>
      <x:c r="O64" s="40" t="str"/>
    </x:row>
    <x:row r="65">
      <x:c r="A65" s="12" t="str">
        <x:v>FNC-064</x:v>
      </x:c>
      <x:c r="B65" s="12" t="str">
        <x:v>Connected Functional</x:v>
      </x:c>
      <x:c r="C65" s="12" t="str">
        <x:v>diagnostics</x:v>
      </x:c>
      <x:c r="D65" s="12" t="str">
        <x:v>Hub fault POWER_LOSS maps to stable diagnostics</x:v>
      </x:c>
      <x:c r="E65" s="12" t="str">
        <x:v>E04, E10</x:v>
      </x:c>
      <x:c r="F65" s="12" t="str">
        <x:v>Reset synthetic state before case</x:v>
      </x:c>
      <x:c r="G65" s="12" t="str">
        <x:v>Inject POWER_LOSS on None
Run Troubleshoot on None</x:v>
      </x:c>
      <x:c r="H65" s="12" t="str">
        <x:v>devices where {"active": false, "code": "GS-H001", "health": "OFFLINE", "id": "hub"} count = 1</x:v>
      </x:c>
      <x:c r="I65" s="12" t="str">
        <x:v>Automated + Manual</x:v>
      </x:c>
      <x:c r="J65" s="12" t="str">
        <x:v>PASS</x:v>
      </x:c>
      <x:c r="K65" s="12" t="str">
        <x:v>Not Run</x:v>
      </x:c>
      <x:c r="L65" s="12" t="str">
        <x:v>tests/functional/scenario_catalog.json</x:v>
      </x:c>
      <x:c r="M65" s="12" t="str"/>
      <x:c r="N65" s="12" t="str"/>
      <x:c r="O65" s="40" t="str"/>
    </x:row>
    <x:row r="66">
      <x:c r="A66" s="12" t="str">
        <x:v>FNC-065</x:v>
      </x:c>
      <x:c r="B66" s="12" t="str">
        <x:v>Connected Functional</x:v>
      </x:c>
      <x:c r="C66" s="12" t="str">
        <x:v>diagnostics</x:v>
      </x:c>
      <x:c r="D66" s="12" t="str">
        <x:v>Hub fault NODE_RADIO_FAILURE maps to stable diagnostics and reboot recovery</x:v>
      </x:c>
      <x:c r="E66" s="12" t="str">
        <x:v>E04, E10</x:v>
      </x:c>
      <x:c r="F66" s="12" t="str">
        <x:v>Reset synthetic state before case</x:v>
      </x:c>
      <x:c r="G66" s="12" t="str">
        <x:v>Inject NODE_RADIO_FAILURE on None
Run Troubleshoot on None
Run Reboot on None</x:v>
      </x:c>
      <x:c r="H66" s="12" t="str">
        <x:v>devices where {"active": true, "code": "GS-OK000", "health": "ACTIVE", "id": "hub"} count = 1</x:v>
      </x:c>
      <x:c r="I66" s="12" t="str">
        <x:v>Automated + Manual</x:v>
      </x:c>
      <x:c r="J66" s="12" t="str">
        <x:v>PASS</x:v>
      </x:c>
      <x:c r="K66" s="12" t="str">
        <x:v>Not Run</x:v>
      </x:c>
      <x:c r="L66" s="12" t="str">
        <x:v>tests/functional/scenario_catalog.json</x:v>
      </x:c>
      <x:c r="M66" s="12" t="str"/>
      <x:c r="N66" s="12" t="str"/>
      <x:c r="O66" s="40" t="str"/>
    </x:row>
    <x:row r="67">
      <x:c r="A67" s="12" t="str">
        <x:v>FNC-066</x:v>
      </x:c>
      <x:c r="B67" s="12" t="str">
        <x:v>Connected Functional</x:v>
      </x:c>
      <x:c r="C67" s="12" t="str">
        <x:v>diagnostics</x:v>
      </x:c>
      <x:c r="D67" s="12" t="str">
        <x:v>Hub fault INTERNET_LOSS maps to stable diagnostics</x:v>
      </x:c>
      <x:c r="E67" s="12" t="str">
        <x:v>E04, E10</x:v>
      </x:c>
      <x:c r="F67" s="12" t="str">
        <x:v>Reset synthetic state before case</x:v>
      </x:c>
      <x:c r="G67" s="12" t="str">
        <x:v>Inject INTERNET_LOSS on None
Run Troubleshoot on None</x:v>
      </x:c>
      <x:c r="H67" s="12" t="str">
        <x:v>devices where {"active": true, "code": "GS-H003", "health": "DEGRADED", "id": "hub"} count = 1</x:v>
      </x:c>
      <x:c r="I67" s="12" t="str">
        <x:v>Automated + Manual</x:v>
      </x:c>
      <x:c r="J67" s="12" t="str">
        <x:v>PASS</x:v>
      </x:c>
      <x:c r="K67" s="12" t="str">
        <x:v>Not Run</x:v>
      </x:c>
      <x:c r="L67" s="12" t="str">
        <x:v>tests/functional/scenario_catalog.json</x:v>
      </x:c>
      <x:c r="M67" s="12" t="str"/>
      <x:c r="N67" s="12" t="str"/>
      <x:c r="O67" s="40" t="str"/>
    </x:row>
    <x:row r="68">
      <x:c r="A68" s="12" t="str">
        <x:v>FNC-067</x:v>
      </x:c>
      <x:c r="B68" s="12" t="str">
        <x:v>Connected Functional</x:v>
      </x:c>
      <x:c r="C68" s="12" t="str">
        <x:v>diagnostics</x:v>
      </x:c>
      <x:c r="D68" s="12" t="str">
        <x:v>Hub fault OVER_TEMP maps to stable diagnostics</x:v>
      </x:c>
      <x:c r="E68" s="12" t="str">
        <x:v>E04, E10</x:v>
      </x:c>
      <x:c r="F68" s="12" t="str">
        <x:v>Reset synthetic state before case</x:v>
      </x:c>
      <x:c r="G68" s="12" t="str">
        <x:v>Inject OVER_TEMP on None
Run Troubleshoot on None</x:v>
      </x:c>
      <x:c r="H68" s="12" t="str">
        <x:v>devices where {"active": false, "code": "GS-H004", "health": "OFFLINE", "id": "hub"} count = 1</x:v>
      </x:c>
      <x:c r="I68" s="12" t="str">
        <x:v>Automated + Manual</x:v>
      </x:c>
      <x:c r="J68" s="12" t="str">
        <x:v>PASS</x:v>
      </x:c>
      <x:c r="K68" s="12" t="str">
        <x:v>Not Run</x:v>
      </x:c>
      <x:c r="L68" s="12" t="str">
        <x:v>tests/functional/scenario_catalog.json</x:v>
      </x:c>
      <x:c r="M68" s="12" t="str"/>
      <x:c r="N68" s="12" t="str"/>
      <x:c r="O68" s="40" t="str"/>
    </x:row>
    <x:row r="69">
      <x:c r="A69" s="12" t="str">
        <x:v>FNC-068</x:v>
      </x:c>
      <x:c r="B69" s="12" t="str">
        <x:v>Connected Functional</x:v>
      </x:c>
      <x:c r="C69" s="12" t="str">
        <x:v>diagnostics</x:v>
      </x:c>
      <x:c r="D69" s="12" t="str">
        <x:v>Hub fault WATCHDOG maps to stable diagnostics and reboot recovery</x:v>
      </x:c>
      <x:c r="E69" s="12" t="str">
        <x:v>E04, E10</x:v>
      </x:c>
      <x:c r="F69" s="12" t="str">
        <x:v>Reset synthetic state before case</x:v>
      </x:c>
      <x:c r="G69" s="12" t="str">
        <x:v>Inject WATCHDOG on None
Run Troubleshoot on None
Run Reboot on None</x:v>
      </x:c>
      <x:c r="H69" s="12" t="str">
        <x:v>devices where {"active": true, "code": "GS-OK000", "health": "ACTIVE", "id": "hub"} count = 1</x:v>
      </x:c>
      <x:c r="I69" s="12" t="str">
        <x:v>Automated + Manual</x:v>
      </x:c>
      <x:c r="J69" s="12" t="str">
        <x:v>PASS</x:v>
      </x:c>
      <x:c r="K69" s="12" t="str">
        <x:v>Not Run</x:v>
      </x:c>
      <x:c r="L69" s="12" t="str">
        <x:v>tests/functional/scenario_catalog.json</x:v>
      </x:c>
      <x:c r="M69" s="12" t="str"/>
      <x:c r="N69" s="12" t="str"/>
      <x:c r="O69" s="40" t="str"/>
    </x:row>
    <x:row r="70">
      <x:c r="A70" s="12" t="str">
        <x:v>DUM-001</x:v>
      </x:c>
      <x:c r="B70" s="12" t="str">
        <x:v>Dummy Sensor Stream</x:v>
      </x:c>
      <x:c r="C70" s="12" t="str">
        <x:v>multi-event</x:v>
      </x:c>
      <x:c r="D70" s="12" t="str">
        <x:v>Configured daytime inactivity triggers family check-in workflow</x:v>
      </x:c>
      <x:c r="E70" s="12" t="str"/>
      <x:c r="F70" s="12" t="str">
        <x:v>Fixture daytime_inactivity.json</x:v>
      </x:c>
      <x:c r="G70" s="12" t="str">
        <x:v>Change household settings: {"daytime_inactivity_seconds": 300}
Set local minute to 600
Advance simulated clock by 300 seconds</x:v>
      </x:c>
      <x:c r="H70" s="12" t="str">
        <x:v>timeline where {"kind": "DAYTIME_INACTIVITY", "tone": "danger"} count = 1
incidents where {"kind": "DAYTIME_INACTIVITY", "state": "OPEN"} count = 1</x:v>
      </x:c>
      <x:c r="I70" s="12" t="str">
        <x:v>Automated</x:v>
      </x:c>
      <x:c r="J70" s="12" t="str">
        <x:v>PASS</x:v>
      </x:c>
      <x:c r="K70" s="12" t="str">
        <x:v>N/A</x:v>
      </x:c>
      <x:c r="L70" s="12" t="str">
        <x:v>tests/fixtures/sensor_streams/daytime_inactivity.json</x:v>
      </x:c>
      <x:c r="M70" s="12" t="str"/>
      <x:c r="N70" s="12" t="str"/>
      <x:c r="O70" s="40" t="str"/>
    </x:row>
    <x:row r="71">
      <x:c r="A71" s="12" t="str">
        <x:v>DUM-002</x:v>
      </x:c>
      <x:c r="B71" s="12" t="str">
        <x:v>Dummy Sensor Stream</x:v>
      </x:c>
      <x:c r="C71" s="12" t="str">
        <x:v>multi-event</x:v>
      </x:c>
      <x:c r="D71" s="12" t="str">
        <x:v>Late-night door stays open then closes</x:v>
      </x:c>
      <x:c r="E71" s="12" t="str"/>
      <x:c r="F71" s="12" t="str">
        <x:v>Fixture late_night_door.json</x:v>
      </x:c>
      <x:c r="G71" s="12" t="str">
        <x:v>Inject DOOR_OPEN from entry (late-night)
Advance simulated clock by 360 seconds
Inject DOOR_CLOSED from entry</x:v>
      </x:c>
      <x:c r="H71" s="12" t="str">
        <x:v>timeline where {"kind": "DOOR_LEFT_OPEN", "tone": "danger"} count = 1
home.latest_activity.kind = DOOR_CLOSED
home.latest_activity.details.resolved_left_open = True</x:v>
      </x:c>
      <x:c r="I71" s="12" t="str">
        <x:v>Automated</x:v>
      </x:c>
      <x:c r="J71" s="12" t="str">
        <x:v>PASS</x:v>
      </x:c>
      <x:c r="K71" s="12" t="str">
        <x:v>N/A</x:v>
      </x:c>
      <x:c r="L71" s="12" t="str">
        <x:v>tests/fixtures/sensor_streams/late_night_door.json</x:v>
      </x:c>
      <x:c r="M71" s="12" t="str"/>
      <x:c r="N71" s="12" t="str"/>
      <x:c r="O71" s="40" t="str"/>
    </x:row>
    <x:row r="72">
      <x:c r="A72" s="12" t="str">
        <x:v>DUM-003</x:v>
      </x:c>
      <x:c r="B72" s="12" t="str">
        <x:v>Dummy Sensor Stream</x:v>
      </x:c>
      <x:c r="C72" s="12" t="str">
        <x:v>multi-event</x:v>
      </x:c>
      <x:c r="D72" s="12" t="str">
        <x:v>Missing morning followed by later household activity</x:v>
      </x:c>
      <x:c r="E72" s="12" t="str"/>
      <x:c r="F72" s="12" t="str">
        <x:v>Fixture missing_then_recovery_activity.json</x:v>
      </x:c>
      <x:c r="G72" s="12" t="str">
        <x:v>Advance simulated clock by 1300 seconds
Inject MOTION from room1
Advance simulated clock by 120 seconds
Inject MOTION from kitchen
Inject DOOR_OPEN from entry</x:v>
      </x:c>
      <x:c r="H72" s="12" t="str">
        <x:v>incidents where {"kind": "MISSING_MORNING_ACTIVITY"} count = 1
home.recent_events where {"kind": "MOTION"} count &gt;= 2
home.recent_events where {"kind": "DOOR_OPEN"} count = 1</x:v>
      </x:c>
      <x:c r="I72" s="12" t="str">
        <x:v>Automated</x:v>
      </x:c>
      <x:c r="J72" s="12" t="str">
        <x:v>PASS</x:v>
      </x:c>
      <x:c r="K72" s="12" t="str">
        <x:v>N/A</x:v>
      </x:c>
      <x:c r="L72" s="12" t="str">
        <x:v>tests/fixtures/sensor_streams/missing_then_recovery_activity.json</x:v>
      </x:c>
      <x:c r="M72" s="12" t="str"/>
      <x:c r="N72" s="12" t="str"/>
      <x:c r="O72" s="40" t="str"/>
    </x:row>
    <x:row r="73">
      <x:c r="A73" s="12" t="str">
        <x:v>DUM-004</x:v>
      </x:c>
      <x:c r="B73" s="12" t="str">
        <x:v>Dummy Sensor Stream</x:v>
      </x:c>
      <x:c r="C73" s="12" t="str">
        <x:v>multi-event</x:v>
      </x:c>
      <x:c r="D73" s="12" t="str">
        <x:v>Normal morning kitchen and pooja activity</x:v>
      </x:c>
      <x:c r="E73" s="12" t="str"/>
      <x:c r="F73" s="12" t="str">
        <x:v>Fixture normal_morning.json</x:v>
      </x:c>
      <x:c r="G73" s="12" t="str">
        <x:v>Inject MOTION from kitchen
Advance simulated clock by 120 seconds
Inject MOTION from pooja
Advance simulated clock by 1180 seconds</x:v>
      </x:c>
      <x:c r="H73" s="12" t="str">
        <x:v>incidents where {"kind": "MISSING_MORNING_ACTIVITY"} count = 0
simulation.reason = evidence_present</x:v>
      </x:c>
      <x:c r="I73" s="12" t="str">
        <x:v>Automated</x:v>
      </x:c>
      <x:c r="J73" s="12" t="str">
        <x:v>PASS</x:v>
      </x:c>
      <x:c r="K73" s="12" t="str">
        <x:v>N/A</x:v>
      </x:c>
      <x:c r="L73" s="12" t="str">
        <x:v>tests/fixtures/sensor_streams/normal_morning.json</x:v>
      </x:c>
      <x:c r="M73" s="12" t="str"/>
      <x:c r="N73" s="12" t="str"/>
      <x:c r="O73" s="40" t="str"/>
    </x:row>
    <x:row r="74">
      <x:c r="A74" s="12" t="str">
        <x:v>DUM-005</x:v>
      </x:c>
      <x:c r="B74" s="12" t="str">
        <x:v>Dummy Sensor Stream</x:v>
      </x:c>
      <x:c r="C74" s="12" t="str">
        <x:v>multi-event</x:v>
      </x:c>
      <x:c r="D74" s="12" t="str">
        <x:v>Sensor activity during WAN loss is replayed after reconnect</x:v>
      </x:c>
      <x:c r="E74" s="12" t="str"/>
      <x:c r="F74" s="12" t="str">
        <x:v>Fixture offline_replay.json</x:v>
      </x:c>
      <x:c r="G74" s="12" t="str">
        <x:v>Set WAN disabled
Inject MOTION from kitchen
Advance simulated clock by 120 seconds
Set WAN enabled</x:v>
      </x:c>
      <x:c r="H74" s="12" t="str">
        <x:v>timeline where {"kind": "MOTION"} count = 1
simulation.pending_cloud = 0</x:v>
      </x:c>
      <x:c r="I74" s="12" t="str">
        <x:v>Automated</x:v>
      </x:c>
      <x:c r="J74" s="12" t="str">
        <x:v>PASS</x:v>
      </x:c>
      <x:c r="K74" s="12" t="str">
        <x:v>N/A</x:v>
      </x:c>
      <x:c r="L74" s="12" t="str">
        <x:v>tests/fixtures/sensor_streams/offline_replay.json</x:v>
      </x:c>
      <x:c r="M74" s="12" t="str"/>
      <x:c r="N74" s="12" t="str"/>
      <x:c r="O74" s="40" t="str"/>
    </x:row>
    <x:row r="75">
      <x:c r="A75" s="12" t="str">
        <x:v>HTTP-001</x:v>
      </x:c>
      <x:c r="B75" s="12" t="str">
        <x:v>HTTP Integration</x:v>
      </x:c>
      <x:c r="C75" s="12" t="str">
        <x:v>API/E2E</x:v>
      </x:c>
      <x:c r="D75" s="12" t="str">
        <x:v>test_release_scenarios_through_http</x:v>
      </x:c>
      <x:c r="E75" s="12" t="str"/>
      <x:c r="F75" s="12" t="str">
        <x:v>Local lab build/server</x:v>
      </x:c>
      <x:c r="G75" s="12" t="str">
        <x:v>python tests/simulation_http_test.py</x:v>
      </x:c>
      <x:c r="H75" s="12" t="str">
        <x:v>Test assertion passes</x:v>
      </x:c>
      <x:c r="I75" s="12" t="str">
        <x:v>Automated</x:v>
      </x:c>
      <x:c r="J75" s="12" t="str">
        <x:v>PASS</x:v>
      </x:c>
      <x:c r="K75" s="12" t="str">
        <x:v>N/A</x:v>
      </x:c>
      <x:c r="L75" s="12" t="str">
        <x:v>tests/simulation_http_test.py</x:v>
      </x:c>
      <x:c r="M75" s="12" t="str"/>
      <x:c r="N75" s="12" t="str"/>
      <x:c r="O75" s="40" t="str"/>
    </x:row>
    <x:row r="76">
      <x:c r="A76" s="12" t="str">
        <x:v>HTTP-002</x:v>
      </x:c>
      <x:c r="B76" s="12" t="str">
        <x:v>HTTP Integration</x:v>
      </x:c>
      <x:c r="C76" s="12" t="str">
        <x:v>API/E2E</x:v>
      </x:c>
      <x:c r="D76" s="12" t="str">
        <x:v>test_web_assets_and_reused_modules</x:v>
      </x:c>
      <x:c r="E76" s="12" t="str"/>
      <x:c r="F76" s="12" t="str">
        <x:v>Local lab build/server</x:v>
      </x:c>
      <x:c r="G76" s="12" t="str">
        <x:v>python tests/simulation_http_test.py</x:v>
      </x:c>
      <x:c r="H76" s="12" t="str">
        <x:v>Test assertion passes</x:v>
      </x:c>
      <x:c r="I76" s="12" t="str">
        <x:v>Automated</x:v>
      </x:c>
      <x:c r="J76" s="12" t="str">
        <x:v>PASS</x:v>
      </x:c>
      <x:c r="K76" s="12" t="str">
        <x:v>N/A</x:v>
      </x:c>
      <x:c r="L76" s="12" t="str">
        <x:v>tests/simulation_http_test.py</x:v>
      </x:c>
      <x:c r="M76" s="12" t="str"/>
      <x:c r="N76" s="12" t="str"/>
      <x:c r="O76" s="40" t="str"/>
    </x:row>
    <x:row r="77">
      <x:c r="A77" s="12" t="str">
        <x:v>HTTP-003</x:v>
      </x:c>
      <x:c r="B77" s="12" t="str">
        <x:v>HTTP Integration</x:v>
      </x:c>
      <x:c r="C77" s="12" t="str">
        <x:v>API/E2E</x:v>
      </x:c>
      <x:c r="D77" s="12" t="str">
        <x:v>test_event_reaches_real_snapshot_api</x:v>
      </x:c>
      <x:c r="E77" s="12" t="str"/>
      <x:c r="F77" s="12" t="str">
        <x:v>Local lab build/server</x:v>
      </x:c>
      <x:c r="G77" s="12" t="str">
        <x:v>python tests/simulation_http_test.py</x:v>
      </x:c>
      <x:c r="H77" s="12" t="str">
        <x:v>Test assertion passes</x:v>
      </x:c>
      <x:c r="I77" s="12" t="str">
        <x:v>Automated</x:v>
      </x:c>
      <x:c r="J77" s="12" t="str">
        <x:v>PASS</x:v>
      </x:c>
      <x:c r="K77" s="12" t="str">
        <x:v>N/A</x:v>
      </x:c>
      <x:c r="L77" s="12" t="str">
        <x:v>tests/simulation_http_test.py</x:v>
      </x:c>
      <x:c r="M77" s="12" t="str"/>
      <x:c r="N77" s="12" t="str"/>
      <x:c r="O77" s="40" t="str"/>
    </x:row>
    <x:row r="78">
      <x:c r="A78" s="12" t="str">
        <x:v>HTTP-004</x:v>
      </x:c>
      <x:c r="B78" s="12" t="str">
        <x:v>HTTP Integration</x:v>
      </x:c>
      <x:c r="C78" s="12" t="str">
        <x:v>API/E2E</x:v>
      </x:c>
      <x:c r="D78" s="12" t="str">
        <x:v>test_call_family_then_ok_remains_chronological_and_unresolved</x:v>
      </x:c>
      <x:c r="E78" s="12" t="str"/>
      <x:c r="F78" s="12" t="str">
        <x:v>Local lab build/server</x:v>
      </x:c>
      <x:c r="G78" s="12" t="str">
        <x:v>python tests/simulation_http_test.py</x:v>
      </x:c>
      <x:c r="H78" s="12" t="str">
        <x:v>Test assertion passes</x:v>
      </x:c>
      <x:c r="I78" s="12" t="str">
        <x:v>Automated</x:v>
      </x:c>
      <x:c r="J78" s="12" t="str">
        <x:v>PASS</x:v>
      </x:c>
      <x:c r="K78" s="12" t="str">
        <x:v>N/A</x:v>
      </x:c>
      <x:c r="L78" s="12" t="str">
        <x:v>tests/simulation_http_test.py</x:v>
      </x:c>
      <x:c r="M78" s="12" t="str"/>
      <x:c r="N78" s="12" t="str"/>
      <x:c r="O78" s="40" t="str"/>
    </x:row>
    <x:row r="79">
      <x:c r="A79" s="12" t="str">
        <x:v>HTTP-005</x:v>
      </x:c>
      <x:c r="B79" s="12" t="str">
        <x:v>HTTP Integration</x:v>
      </x:c>
      <x:c r="C79" s="12" t="str">
        <x:v>API/E2E</x:v>
      </x:c>
      <x:c r="D79" s="12" t="str">
        <x:v>test_door_left_open_and_close_duration</x:v>
      </x:c>
      <x:c r="E79" s="12" t="str"/>
      <x:c r="F79" s="12" t="str">
        <x:v>Local lab build/server</x:v>
      </x:c>
      <x:c r="G79" s="12" t="str">
        <x:v>python tests/simulation_http_test.py</x:v>
      </x:c>
      <x:c r="H79" s="12" t="str">
        <x:v>Test assertion passes</x:v>
      </x:c>
      <x:c r="I79" s="12" t="str">
        <x:v>Automated</x:v>
      </x:c>
      <x:c r="J79" s="12" t="str">
        <x:v>PASS</x:v>
      </x:c>
      <x:c r="K79" s="12" t="str">
        <x:v>N/A</x:v>
      </x:c>
      <x:c r="L79" s="12" t="str">
        <x:v>tests/simulation_http_test.py</x:v>
      </x:c>
      <x:c r="M79" s="12" t="str"/>
      <x:c r="N79" s="12" t="str"/>
      <x:c r="O79" s="40" t="str"/>
    </x:row>
    <x:row r="80">
      <x:c r="A80" s="12" t="str">
        <x:v>HTTP-006</x:v>
      </x:c>
      <x:c r="B80" s="12" t="str">
        <x:v>HTTP Integration</x:v>
      </x:c>
      <x:c r="C80" s="12" t="str">
        <x:v>API/E2E</x:v>
      </x:c>
      <x:c r="D80" s="12" t="str">
        <x:v>test_household_settings_are_versioned_and_change_door_policy</x:v>
      </x:c>
      <x:c r="E80" s="12" t="str"/>
      <x:c r="F80" s="12" t="str">
        <x:v>Local lab build/server</x:v>
      </x:c>
      <x:c r="G80" s="12" t="str">
        <x:v>python tests/simulation_http_test.py</x:v>
      </x:c>
      <x:c r="H80" s="12" t="str">
        <x:v>Test assertion passes</x:v>
      </x:c>
      <x:c r="I80" s="12" t="str">
        <x:v>Automated</x:v>
      </x:c>
      <x:c r="J80" s="12" t="str">
        <x:v>PASS</x:v>
      </x:c>
      <x:c r="K80" s="12" t="str">
        <x:v>N/A</x:v>
      </x:c>
      <x:c r="L80" s="12" t="str">
        <x:v>tests/simulation_http_test.py</x:v>
      </x:c>
      <x:c r="M80" s="12" t="str"/>
      <x:c r="N80" s="12" t="str"/>
      <x:c r="O80" s="40" t="str"/>
    </x:row>
    <x:row r="81">
      <x:c r="A81" s="12" t="str">
        <x:v>HTTP-007</x:v>
      </x:c>
      <x:c r="B81" s="12" t="str">
        <x:v>HTTP Integration</x:v>
      </x:c>
      <x:c r="C81" s="12" t="str">
        <x:v>API/E2E</x:v>
      </x:c>
      <x:c r="D81" s="12" t="str">
        <x:v>test_daytime_inactivity_runs_through_rule_engine_and_backend</x:v>
      </x:c>
      <x:c r="E81" s="12" t="str"/>
      <x:c r="F81" s="12" t="str">
        <x:v>Local lab build/server</x:v>
      </x:c>
      <x:c r="G81" s="12" t="str">
        <x:v>python tests/simulation_http_test.py</x:v>
      </x:c>
      <x:c r="H81" s="12" t="str">
        <x:v>Test assertion passes</x:v>
      </x:c>
      <x:c r="I81" s="12" t="str">
        <x:v>Automated</x:v>
      </x:c>
      <x:c r="J81" s="12" t="str">
        <x:v>PASS</x:v>
      </x:c>
      <x:c r="K81" s="12" t="str">
        <x:v>N/A</x:v>
      </x:c>
      <x:c r="L81" s="12" t="str">
        <x:v>tests/simulation_http_test.py</x:v>
      </x:c>
      <x:c r="M81" s="12" t="str"/>
      <x:c r="N81" s="12" t="str"/>
      <x:c r="O81" s="40" t="str"/>
    </x:row>
    <x:row r="82">
      <x:c r="A82" s="12" t="str">
        <x:v>HTTP-008</x:v>
      </x:c>
      <x:c r="B82" s="12" t="str">
        <x:v>HTTP Integration</x:v>
      </x:c>
      <x:c r="C82" s="12" t="str">
        <x:v>API/E2E</x:v>
      </x:c>
      <x:c r="D82" s="12" t="str">
        <x:v>test_wrong_sensor_event_combination_is_rejected</x:v>
      </x:c>
      <x:c r="E82" s="12" t="str"/>
      <x:c r="F82" s="12" t="str">
        <x:v>Local lab build/server</x:v>
      </x:c>
      <x:c r="G82" s="12" t="str">
        <x:v>python tests/simulation_http_test.py</x:v>
      </x:c>
      <x:c r="H82" s="12" t="str">
        <x:v>Test assertion passes</x:v>
      </x:c>
      <x:c r="I82" s="12" t="str">
        <x:v>Automated</x:v>
      </x:c>
      <x:c r="J82" s="12" t="str">
        <x:v>PASS</x:v>
      </x:c>
      <x:c r="K82" s="12" t="str">
        <x:v>N/A</x:v>
      </x:c>
      <x:c r="L82" s="12" t="str">
        <x:v>tests/simulation_http_test.py</x:v>
      </x:c>
      <x:c r="M82" s="12" t="str"/>
      <x:c r="N82" s="12" t="str"/>
      <x:c r="O82" s="40" t="str"/>
    </x:row>
    <x:row r="83">
      <x:c r="A83" s="12" t="str">
        <x:v>HTTP-009</x:v>
      </x:c>
      <x:c r="B83" s="12" t="str">
        <x:v>HTTP Integration</x:v>
      </x:c>
      <x:c r="C83" s="12" t="str">
        <x:v>API/E2E</x:v>
      </x:c>
      <x:c r="D83" s="12" t="str">
        <x:v>test_privacy_toggle_is_not_a_simulation_event</x:v>
      </x:c>
      <x:c r="E83" s="12" t="str"/>
      <x:c r="F83" s="12" t="str">
        <x:v>Local lab build/server</x:v>
      </x:c>
      <x:c r="G83" s="12" t="str">
        <x:v>python tests/simulation_http_test.py</x:v>
      </x:c>
      <x:c r="H83" s="12" t="str">
        <x:v>Test assertion passes</x:v>
      </x:c>
      <x:c r="I83" s="12" t="str">
        <x:v>Automated</x:v>
      </x:c>
      <x:c r="J83" s="12" t="str">
        <x:v>PASS</x:v>
      </x:c>
      <x:c r="K83" s="12" t="str">
        <x:v>N/A</x:v>
      </x:c>
      <x:c r="L83" s="12" t="str">
        <x:v>tests/simulation_http_test.py</x:v>
      </x:c>
      <x:c r="M83" s="12" t="str"/>
      <x:c r="N83" s="12" t="str"/>
      <x:c r="O83" s="40" t="str"/>
    </x:row>
    <x:row r="84">
      <x:c r="A84" s="12" t="str">
        <x:v>HTTP-010</x:v>
      </x:c>
      <x:c r="B84" s="12" t="str">
        <x:v>HTTP Integration</x:v>
      </x:c>
      <x:c r="C84" s="12" t="str">
        <x:v>API/E2E</x:v>
      </x:c>
      <x:c r="D84" s="12" t="str">
        <x:v>test_device_fault_maps_to_error_code</x:v>
      </x:c>
      <x:c r="E84" s="12" t="str"/>
      <x:c r="F84" s="12" t="str">
        <x:v>Local lab build/server</x:v>
      </x:c>
      <x:c r="G84" s="12" t="str">
        <x:v>python tests/simulation_http_test.py</x:v>
      </x:c>
      <x:c r="H84" s="12" t="str">
        <x:v>Test assertion passes</x:v>
      </x:c>
      <x:c r="I84" s="12" t="str">
        <x:v>Automated</x:v>
      </x:c>
      <x:c r="J84" s="12" t="str">
        <x:v>PASS</x:v>
      </x:c>
      <x:c r="K84" s="12" t="str">
        <x:v>N/A</x:v>
      </x:c>
      <x:c r="L84" s="12" t="str">
        <x:v>tests/simulation_http_test.py</x:v>
      </x:c>
      <x:c r="M84" s="12" t="str"/>
      <x:c r="N84" s="12" t="str"/>
      <x:c r="O84" s="40" t="str"/>
    </x:row>
    <x:row r="85">
      <x:c r="A85" s="12" t="str">
        <x:v>HTTP-011</x:v>
      </x:c>
      <x:c r="B85" s="12" t="str">
        <x:v>HTTP Integration</x:v>
      </x:c>
      <x:c r="C85" s="12" t="str">
        <x:v>API/E2E</x:v>
      </x:c>
      <x:c r="D85" s="12" t="str">
        <x:v>test_browser_incident_actions_and_ownership</x:v>
      </x:c>
      <x:c r="E85" s="12" t="str"/>
      <x:c r="F85" s="12" t="str">
        <x:v>Local lab build/server</x:v>
      </x:c>
      <x:c r="G85" s="12" t="str">
        <x:v>python tests/simulation_http_test.py</x:v>
      </x:c>
      <x:c r="H85" s="12" t="str">
        <x:v>Test assertion passes</x:v>
      </x:c>
      <x:c r="I85" s="12" t="str">
        <x:v>Automated</x:v>
      </x:c>
      <x:c r="J85" s="12" t="str">
        <x:v>PASS</x:v>
      </x:c>
      <x:c r="K85" s="12" t="str">
        <x:v>N/A</x:v>
      </x:c>
      <x:c r="L85" s="12" t="str">
        <x:v>tests/simulation_http_test.py</x:v>
      </x:c>
      <x:c r="M85" s="12" t="str"/>
      <x:c r="N85" s="12" t="str"/>
      <x:c r="O85" s="40" t="str"/>
    </x:row>
    <x:row r="86">
      <x:c r="A86" s="12" t="str">
        <x:v>HTTP-012</x:v>
      </x:c>
      <x:c r="B86" s="12" t="str">
        <x:v>HTTP Integration</x:v>
      </x:c>
      <x:c r="C86" s="12" t="str">
        <x:v>API/E2E</x:v>
      </x:c>
      <x:c r="D86" s="12" t="str">
        <x:v>test_unknown_actor_denied</x:v>
      </x:c>
      <x:c r="E86" s="12" t="str"/>
      <x:c r="F86" s="12" t="str">
        <x:v>Local lab build/server</x:v>
      </x:c>
      <x:c r="G86" s="12" t="str">
        <x:v>python tests/simulation_http_test.py</x:v>
      </x:c>
      <x:c r="H86" s="12" t="str">
        <x:v>Test assertion passes</x:v>
      </x:c>
      <x:c r="I86" s="12" t="str">
        <x:v>Automated</x:v>
      </x:c>
      <x:c r="J86" s="12" t="str">
        <x:v>PASS</x:v>
      </x:c>
      <x:c r="K86" s="12" t="str">
        <x:v>N/A</x:v>
      </x:c>
      <x:c r="L86" s="12" t="str">
        <x:v>tests/simulation_http_test.py</x:v>
      </x:c>
      <x:c r="M86" s="12" t="str"/>
      <x:c r="N86" s="12" t="str"/>
      <x:c r="O86" s="40" t="str"/>
    </x:row>
    <x:row r="87">
      <x:c r="A87" s="12" t="str">
        <x:v>HTTP-013</x:v>
      </x:c>
      <x:c r="B87" s="12" t="str">
        <x:v>HTTP Integration</x:v>
      </x:c>
      <x:c r="C87" s="12" t="str">
        <x:v>API/E2E</x:v>
      </x:c>
      <x:c r="D87" s="12" t="str">
        <x:v>test_cross_origin_denied</x:v>
      </x:c>
      <x:c r="E87" s="12" t="str"/>
      <x:c r="F87" s="12" t="str">
        <x:v>Local lab build/server</x:v>
      </x:c>
      <x:c r="G87" s="12" t="str">
        <x:v>python tests/simulation_http_test.py</x:v>
      </x:c>
      <x:c r="H87" s="12" t="str">
        <x:v>Test assertion passes</x:v>
      </x:c>
      <x:c r="I87" s="12" t="str">
        <x:v>Automated</x:v>
      </x:c>
      <x:c r="J87" s="12" t="str">
        <x:v>PASS</x:v>
      </x:c>
      <x:c r="K87" s="12" t="str">
        <x:v>N/A</x:v>
      </x:c>
      <x:c r="L87" s="12" t="str">
        <x:v>tests/simulation_http_test.py</x:v>
      </x:c>
      <x:c r="M87" s="12" t="str"/>
      <x:c r="N87" s="12" t="str"/>
      <x:c r="O87" s="40" t="str"/>
    </x:row>
    <x:row r="88">
      <x:c r="A88" s="12" t="str">
        <x:v>HTTP-014</x:v>
      </x:c>
      <x:c r="B88" s="12" t="str">
        <x:v>HTTP Integration</x:v>
      </x:c>
      <x:c r="C88" s="12" t="str">
        <x:v>API/E2E</x:v>
      </x:c>
      <x:c r="D88" s="12" t="str">
        <x:v>test_invalid_step_rejected_without_crash</x:v>
      </x:c>
      <x:c r="E88" s="12" t="str"/>
      <x:c r="F88" s="12" t="str">
        <x:v>Local lab build/server</x:v>
      </x:c>
      <x:c r="G88" s="12" t="str">
        <x:v>python tests/simulation_http_test.py</x:v>
      </x:c>
      <x:c r="H88" s="12" t="str">
        <x:v>Test assertion passes</x:v>
      </x:c>
      <x:c r="I88" s="12" t="str">
        <x:v>Automated</x:v>
      </x:c>
      <x:c r="J88" s="12" t="str">
        <x:v>PASS</x:v>
      </x:c>
      <x:c r="K88" s="12" t="str">
        <x:v>N/A</x:v>
      </x:c>
      <x:c r="L88" s="12" t="str">
        <x:v>tests/simulation_http_test.py</x:v>
      </x:c>
      <x:c r="M88" s="12" t="str"/>
      <x:c r="N88" s="12" t="str"/>
      <x:c r="O88" s="40" t="str"/>
    </x:row>
    <x:row r="89">
      <x:c r="A89" s="12" t="str">
        <x:v>HTTP-015</x:v>
      </x:c>
      <x:c r="B89" s="12" t="str">
        <x:v>HTTP Integration</x:v>
      </x:c>
      <x:c r="C89" s="12" t="str">
        <x:v>API/E2E</x:v>
      </x:c>
      <x:c r="D89" s="12" t="str">
        <x:v>test_source_files_not_served</x:v>
      </x:c>
      <x:c r="E89" s="12" t="str"/>
      <x:c r="F89" s="12" t="str">
        <x:v>Local lab build/server</x:v>
      </x:c>
      <x:c r="G89" s="12" t="str">
        <x:v>python tests/simulation_http_test.py</x:v>
      </x:c>
      <x:c r="H89" s="12" t="str">
        <x:v>Test assertion passes</x:v>
      </x:c>
      <x:c r="I89" s="12" t="str">
        <x:v>Automated</x:v>
      </x:c>
      <x:c r="J89" s="12" t="str">
        <x:v>PASS</x:v>
      </x:c>
      <x:c r="K89" s="12" t="str">
        <x:v>N/A</x:v>
      </x:c>
      <x:c r="L89" s="12" t="str">
        <x:v>tests/simulation_http_test.py</x:v>
      </x:c>
      <x:c r="M89" s="12" t="str"/>
      <x:c r="N89" s="12" t="str"/>
      <x:c r="O89" s="40" t="str"/>
    </x:row>
    <x:row r="90">
      <x:c r="A90" s="12" t="str">
        <x:v>HTTP-016</x:v>
      </x:c>
      <x:c r="B90" s="12" t="str">
        <x:v>HTTP Integration</x:v>
      </x:c>
      <x:c r="C90" s="12" t="str">
        <x:v>API/E2E</x:v>
      </x:c>
      <x:c r="D90" s="12" t="str">
        <x:v>test_offline_missing_intent_keeps_detection_time</x:v>
      </x:c>
      <x:c r="E90" s="12" t="str"/>
      <x:c r="F90" s="12" t="str">
        <x:v>Local lab build/server</x:v>
      </x:c>
      <x:c r="G90" s="12" t="str">
        <x:v>python tests/simulation_http_test.py</x:v>
      </x:c>
      <x:c r="H90" s="12" t="str">
        <x:v>Test assertion passes</x:v>
      </x:c>
      <x:c r="I90" s="12" t="str">
        <x:v>Automated</x:v>
      </x:c>
      <x:c r="J90" s="12" t="str">
        <x:v>PASS</x:v>
      </x:c>
      <x:c r="K90" s="12" t="str">
        <x:v>N/A</x:v>
      </x:c>
      <x:c r="L90" s="12" t="str">
        <x:v>tests/simulation_http_test.py</x:v>
      </x:c>
      <x:c r="M90" s="12" t="str"/>
      <x:c r="N90" s="12" t="str"/>
      <x:c r="O90" s="40" t="str"/>
    </x:row>
    <x:row r="91">
      <x:c r="A91" s="12" t="str">
        <x:v>PY-001</x:v>
      </x:c>
      <x:c r="B91" s="12" t="str">
        <x:v>Python Backend/DB</x:v>
      </x:c>
      <x:c r="C91" s="12" t="str">
        <x:v>component</x:v>
      </x:c>
      <x:c r="D91" s="12" t="str">
        <x:v>test_B01_F01_membership_is_tenant_scoped</x:v>
      </x:c>
      <x:c r="E91" s="12" t="str"/>
      <x:c r="F91" s="12" t="str">
        <x:v>Host Python environment</x:v>
      </x:c>
      <x:c r="G91" s="12" t="str">
        <x:v>make python-test</x:v>
      </x:c>
      <x:c r="H91" s="12" t="str">
        <x:v>Unit/integration assertion passes</x:v>
      </x:c>
      <x:c r="I91" s="12" t="str">
        <x:v>Automated</x:v>
      </x:c>
      <x:c r="J91" s="12" t="str">
        <x:v>PASS</x:v>
      </x:c>
      <x:c r="K91" s="12" t="str">
        <x:v>N/A</x:v>
      </x:c>
      <x:c r="L91" s="12" t="str">
        <x:v>tests/python/test_backend.py</x:v>
      </x:c>
      <x:c r="M91" s="12" t="str"/>
      <x:c r="N91" s="12" t="str"/>
      <x:c r="O91" s="40" t="str"/>
    </x:row>
    <x:row r="92">
      <x:c r="A92" s="12" t="str">
        <x:v>PY-002</x:v>
      </x:c>
      <x:c r="B92" s="12" t="str">
        <x:v>Python Backend/DB</x:v>
      </x:c>
      <x:c r="C92" s="12" t="str">
        <x:v>component</x:v>
      </x:c>
      <x:c r="D92" s="12" t="str">
        <x:v>test_B02_consent_withdrawal_enters_privacy</x:v>
      </x:c>
      <x:c r="E92" s="12" t="str"/>
      <x:c r="F92" s="12" t="str">
        <x:v>Host Python environment</x:v>
      </x:c>
      <x:c r="G92" s="12" t="str">
        <x:v>make python-test</x:v>
      </x:c>
      <x:c r="H92" s="12" t="str">
        <x:v>Unit/integration assertion passes</x:v>
      </x:c>
      <x:c r="I92" s="12" t="str">
        <x:v>Automated</x:v>
      </x:c>
      <x:c r="J92" s="12" t="str">
        <x:v>PASS</x:v>
      </x:c>
      <x:c r="K92" s="12" t="str">
        <x:v>N/A</x:v>
      </x:c>
      <x:c r="L92" s="12" t="str">
        <x:v>tests/python/test_backend.py</x:v>
      </x:c>
      <x:c r="M92" s="12" t="str"/>
      <x:c r="N92" s="12" t="str"/>
      <x:c r="O92" s="40" t="str"/>
    </x:row>
    <x:row r="93">
      <x:c r="A93" s="12" t="str">
        <x:v>PY-003</x:v>
      </x:c>
      <x:c r="B93" s="12" t="str">
        <x:v>Python Backend/DB</x:v>
      </x:c>
      <x:c r="C93" s="12" t="str">
        <x:v>component</x:v>
      </x:c>
      <x:c r="D93" s="12" t="str">
        <x:v>test_B03_ingest_is_idempotent</x:v>
      </x:c>
      <x:c r="E93" s="12" t="str"/>
      <x:c r="F93" s="12" t="str">
        <x:v>Host Python environment</x:v>
      </x:c>
      <x:c r="G93" s="12" t="str">
        <x:v>make python-test</x:v>
      </x:c>
      <x:c r="H93" s="12" t="str">
        <x:v>Unit/integration assertion passes</x:v>
      </x:c>
      <x:c r="I93" s="12" t="str">
        <x:v>Automated</x:v>
      </x:c>
      <x:c r="J93" s="12" t="str">
        <x:v>PASS</x:v>
      </x:c>
      <x:c r="K93" s="12" t="str">
        <x:v>N/A</x:v>
      </x:c>
      <x:c r="L93" s="12" t="str">
        <x:v>tests/python/test_backend.py</x:v>
      </x:c>
      <x:c r="M93" s="12" t="str"/>
      <x:c r="N93" s="12" t="str"/>
      <x:c r="O93" s="40" t="str"/>
    </x:row>
    <x:row r="94">
      <x:c r="A94" s="12" t="str">
        <x:v>PY-004</x:v>
      </x:c>
      <x:c r="B94" s="12" t="str">
        <x:v>Python Backend/DB</x:v>
      </x:c>
      <x:c r="C94" s="12" t="str">
        <x:v>component</x:v>
      </x:c>
      <x:c r="D94" s="12" t="str">
        <x:v>test_B04_B05_call_creates_one_incident_and_two_bounded_routes</x:v>
      </x:c>
      <x:c r="E94" s="12" t="str"/>
      <x:c r="F94" s="12" t="str">
        <x:v>Host Python environment</x:v>
      </x:c>
      <x:c r="G94" s="12" t="str">
        <x:v>make python-test</x:v>
      </x:c>
      <x:c r="H94" s="12" t="str">
        <x:v>Unit/integration assertion passes</x:v>
      </x:c>
      <x:c r="I94" s="12" t="str">
        <x:v>Automated</x:v>
      </x:c>
      <x:c r="J94" s="12" t="str">
        <x:v>PASS</x:v>
      </x:c>
      <x:c r="K94" s="12" t="str">
        <x:v>N/A</x:v>
      </x:c>
      <x:c r="L94" s="12" t="str">
        <x:v>tests/python/test_backend.py</x:v>
      </x:c>
      <x:c r="M94" s="12" t="str"/>
      <x:c r="N94" s="12" t="str"/>
      <x:c r="O94" s="40" t="str"/>
    </x:row>
    <x:row r="95">
      <x:c r="A95" s="12" t="str">
        <x:v>PY-005</x:v>
      </x:c>
      <x:c r="B95" s="12" t="str">
        <x:v>Python Backend/DB</x:v>
      </x:c>
      <x:c r="C95" s="12" t="str">
        <x:v>component</x:v>
      </x:c>
      <x:c r="D95" s="12" t="str">
        <x:v>test_B04_claim_lease_prevents_double_ownership</x:v>
      </x:c>
      <x:c r="E95" s="12" t="str"/>
      <x:c r="F95" s="12" t="str">
        <x:v>Host Python environment</x:v>
      </x:c>
      <x:c r="G95" s="12" t="str">
        <x:v>make python-test</x:v>
      </x:c>
      <x:c r="H95" s="12" t="str">
        <x:v>Unit/integration assertion passes</x:v>
      </x:c>
      <x:c r="I95" s="12" t="str">
        <x:v>Automated</x:v>
      </x:c>
      <x:c r="J95" s="12" t="str">
        <x:v>PASS</x:v>
      </x:c>
      <x:c r="K95" s="12" t="str">
        <x:v>N/A</x:v>
      </x:c>
      <x:c r="L95" s="12" t="str">
        <x:v>tests/python/test_backend.py</x:v>
      </x:c>
      <x:c r="M95" s="12" t="str"/>
      <x:c r="N95" s="12" t="str"/>
      <x:c r="O95" s="40" t="str"/>
    </x:row>
    <x:row r="96">
      <x:c r="A96" s="12" t="str">
        <x:v>PY-006</x:v>
      </x:c>
      <x:c r="B96" s="12" t="str">
        <x:v>Python Backend/DB</x:v>
      </x:c>
      <x:c r="C96" s="12" t="str">
        <x:v>component</x:v>
      </x:c>
      <x:c r="D96" s="12" t="str">
        <x:v>test_B06_config_version_and_device_binding</x:v>
      </x:c>
      <x:c r="E96" s="12" t="str"/>
      <x:c r="F96" s="12" t="str">
        <x:v>Host Python environment</x:v>
      </x:c>
      <x:c r="G96" s="12" t="str">
        <x:v>make python-test</x:v>
      </x:c>
      <x:c r="H96" s="12" t="str">
        <x:v>Unit/integration assertion passes</x:v>
      </x:c>
      <x:c r="I96" s="12" t="str">
        <x:v>Automated</x:v>
      </x:c>
      <x:c r="J96" s="12" t="str">
        <x:v>PASS</x:v>
      </x:c>
      <x:c r="K96" s="12" t="str">
        <x:v>N/A</x:v>
      </x:c>
      <x:c r="L96" s="12" t="str">
        <x:v>tests/python/test_backend.py</x:v>
      </x:c>
      <x:c r="M96" s="12" t="str"/>
      <x:c r="N96" s="12" t="str"/>
      <x:c r="O96" s="40" t="str"/>
    </x:row>
    <x:row r="97">
      <x:c r="A97" s="12" t="str">
        <x:v>PY-007</x:v>
      </x:c>
      <x:c r="B97" s="12" t="str">
        <x:v>Python Backend/DB</x:v>
      </x:c>
      <x:c r="C97" s="12" t="str">
        <x:v>component</x:v>
      </x:c>
      <x:c r="D97" s="12" t="str">
        <x:v>test_B07_B08_snapshot_separates_activity_from_reachability</x:v>
      </x:c>
      <x:c r="E97" s="12" t="str"/>
      <x:c r="F97" s="12" t="str">
        <x:v>Host Python environment</x:v>
      </x:c>
      <x:c r="G97" s="12" t="str">
        <x:v>make python-test</x:v>
      </x:c>
      <x:c r="H97" s="12" t="str">
        <x:v>Unit/integration assertion passes</x:v>
      </x:c>
      <x:c r="I97" s="12" t="str">
        <x:v>Automated</x:v>
      </x:c>
      <x:c r="J97" s="12" t="str">
        <x:v>PASS</x:v>
      </x:c>
      <x:c r="K97" s="12" t="str">
        <x:v>N/A</x:v>
      </x:c>
      <x:c r="L97" s="12" t="str">
        <x:v>tests/python/test_backend.py</x:v>
      </x:c>
      <x:c r="M97" s="12" t="str"/>
      <x:c r="N97" s="12" t="str"/>
      <x:c r="O97" s="40" t="str"/>
    </x:row>
    <x:row r="98">
      <x:c r="A98" s="12" t="str">
        <x:v>PY-008</x:v>
      </x:c>
      <x:c r="B98" s="12" t="str">
        <x:v>Python Backend/DB</x:v>
      </x:c>
      <x:c r="C98" s="12" t="str">
        <x:v>component</x:v>
      </x:c>
      <x:c r="D98" s="12" t="str">
        <x:v>test_test_alert_never_creates_production_incident</x:v>
      </x:c>
      <x:c r="E98" s="12" t="str"/>
      <x:c r="F98" s="12" t="str">
        <x:v>Host Python environment</x:v>
      </x:c>
      <x:c r="G98" s="12" t="str">
        <x:v>make python-test</x:v>
      </x:c>
      <x:c r="H98" s="12" t="str">
        <x:v>Unit/integration assertion passes</x:v>
      </x:c>
      <x:c r="I98" s="12" t="str">
        <x:v>Automated</x:v>
      </x:c>
      <x:c r="J98" s="12" t="str">
        <x:v>PASS</x:v>
      </x:c>
      <x:c r="K98" s="12" t="str">
        <x:v>N/A</x:v>
      </x:c>
      <x:c r="L98" s="12" t="str">
        <x:v>tests/python/test_backend.py</x:v>
      </x:c>
      <x:c r="M98" s="12" t="str"/>
      <x:c r="N98" s="12" t="str"/>
      <x:c r="O98" s="40" t="str"/>
    </x:row>
    <x:row r="99">
      <x:c r="A99" s="12" t="str">
        <x:v>PY-009</x:v>
      </x:c>
      <x:c r="B99" s="12" t="str">
        <x:v>Python Backend/DB</x:v>
      </x:c>
      <x:c r="C99" s="12" t="str">
        <x:v>component</x:v>
      </x:c>
      <x:c r="D99" s="12" t="str">
        <x:v>test_daytime_inactivity_creates_one_checkin_incident_and_routes</x:v>
      </x:c>
      <x:c r="E99" s="12" t="str"/>
      <x:c r="F99" s="12" t="str">
        <x:v>Host Python environment</x:v>
      </x:c>
      <x:c r="G99" s="12" t="str">
        <x:v>make python-test</x:v>
      </x:c>
      <x:c r="H99" s="12" t="str">
        <x:v>Unit/integration assertion passes</x:v>
      </x:c>
      <x:c r="I99" s="12" t="str">
        <x:v>Automated</x:v>
      </x:c>
      <x:c r="J99" s="12" t="str">
        <x:v>PASS</x:v>
      </x:c>
      <x:c r="K99" s="12" t="str">
        <x:v>N/A</x:v>
      </x:c>
      <x:c r="L99" s="12" t="str">
        <x:v>tests/python/test_backend.py</x:v>
      </x:c>
      <x:c r="M99" s="12" t="str"/>
      <x:c r="N99" s="12" t="str"/>
      <x:c r="O99" s="40" t="str"/>
    </x:row>
    <x:row r="100">
      <x:c r="A100" s="12" t="str">
        <x:v>PY-010</x:v>
      </x:c>
      <x:c r="B100" s="12" t="str">
        <x:v>Python Backend/DB</x:v>
      </x:c>
      <x:c r="C100" s="12" t="str">
        <x:v>component</x:v>
      </x:c>
      <x:c r="D100" s="12" t="str">
        <x:v>test_B05_F09_quiet_door_notice_is_opt_in_and_idempotent</x:v>
      </x:c>
      <x:c r="E100" s="12" t="str"/>
      <x:c r="F100" s="12" t="str">
        <x:v>Host Python environment</x:v>
      </x:c>
      <x:c r="G100" s="12" t="str">
        <x:v>make python-test</x:v>
      </x:c>
      <x:c r="H100" s="12" t="str">
        <x:v>Unit/integration assertion passes</x:v>
      </x:c>
      <x:c r="I100" s="12" t="str">
        <x:v>Automated</x:v>
      </x:c>
      <x:c r="J100" s="12" t="str">
        <x:v>PASS</x:v>
      </x:c>
      <x:c r="K100" s="12" t="str">
        <x:v>N/A</x:v>
      </x:c>
      <x:c r="L100" s="12" t="str">
        <x:v>tests/python/test_backend.py</x:v>
      </x:c>
      <x:c r="M100" s="12" t="str"/>
      <x:c r="N100" s="12" t="str"/>
      <x:c r="O100" s="40" t="str"/>
    </x:row>
    <x:row r="101">
      <x:c r="A101" s="12" t="str">
        <x:v>PY-011</x:v>
      </x:c>
      <x:c r="B101" s="12" t="str">
        <x:v>Python Backend/DB</x:v>
      </x:c>
      <x:c r="C101" s="12" t="str">
        <x:v>component</x:v>
      </x:c>
      <x:c r="D101" s="12" t="str">
        <x:v>test_B05_F14_summary_is_opt_in_single_and_coverage_honest</x:v>
      </x:c>
      <x:c r="E101" s="12" t="str"/>
      <x:c r="F101" s="12" t="str">
        <x:v>Host Python environment</x:v>
      </x:c>
      <x:c r="G101" s="12" t="str">
        <x:v>make python-test</x:v>
      </x:c>
      <x:c r="H101" s="12" t="str">
        <x:v>Unit/integration assertion passes</x:v>
      </x:c>
      <x:c r="I101" s="12" t="str">
        <x:v>Automated</x:v>
      </x:c>
      <x:c r="J101" s="12" t="str">
        <x:v>PASS</x:v>
      </x:c>
      <x:c r="K101" s="12" t="str">
        <x:v>N/A</x:v>
      </x:c>
      <x:c r="L101" s="12" t="str">
        <x:v>tests/python/test_backend.py</x:v>
      </x:c>
      <x:c r="M101" s="12" t="str"/>
      <x:c r="N101" s="12" t="str"/>
      <x:c r="O101" s="40" t="str"/>
    </x:row>
    <x:row r="102">
      <x:c r="A102" s="12" t="str">
        <x:v>PY-012</x:v>
      </x:c>
      <x:c r="B102" s="12" t="str">
        <x:v>Python Backend/DB</x:v>
      </x:c>
      <x:c r="C102" s="12" t="str">
        <x:v>component</x:v>
      </x:c>
      <x:c r="D102" s="12" t="str">
        <x:v>test_p0_tables_exist</x:v>
      </x:c>
      <x:c r="E102" s="12" t="str"/>
      <x:c r="F102" s="12" t="str">
        <x:v>Host Python environment</x:v>
      </x:c>
      <x:c r="G102" s="12" t="str">
        <x:v>make python-test</x:v>
      </x:c>
      <x:c r="H102" s="12" t="str">
        <x:v>Unit/integration assertion passes</x:v>
      </x:c>
      <x:c r="I102" s="12" t="str">
        <x:v>Automated</x:v>
      </x:c>
      <x:c r="J102" s="12" t="str">
        <x:v>PASS</x:v>
      </x:c>
      <x:c r="K102" s="12" t="str">
        <x:v>N/A</x:v>
      </x:c>
      <x:c r="L102" s="12" t="str">
        <x:v>tests/python/test_database_schema.py</x:v>
      </x:c>
      <x:c r="M102" s="12" t="str"/>
      <x:c r="N102" s="12" t="str"/>
      <x:c r="O102" s="40" t="str"/>
    </x:row>
    <x:row r="103">
      <x:c r="A103" s="12" t="str">
        <x:v>PY-013</x:v>
      </x:c>
      <x:c r="B103" s="12" t="str">
        <x:v>Python Backend/DB</x:v>
      </x:c>
      <x:c r="C103" s="12" t="str">
        <x:v>component</x:v>
      </x:c>
      <x:c r="D103" s="12" t="str">
        <x:v>test_event_identity_suppresses_duplicates</x:v>
      </x:c>
      <x:c r="E103" s="12" t="str"/>
      <x:c r="F103" s="12" t="str">
        <x:v>Host Python environment</x:v>
      </x:c>
      <x:c r="G103" s="12" t="str">
        <x:v>make python-test</x:v>
      </x:c>
      <x:c r="H103" s="12" t="str">
        <x:v>Unit/integration assertion passes</x:v>
      </x:c>
      <x:c r="I103" s="12" t="str">
        <x:v>Automated</x:v>
      </x:c>
      <x:c r="J103" s="12" t="str">
        <x:v>PASS</x:v>
      </x:c>
      <x:c r="K103" s="12" t="str">
        <x:v>N/A</x:v>
      </x:c>
      <x:c r="L103" s="12" t="str">
        <x:v>tests/python/test_database_schema.py</x:v>
      </x:c>
      <x:c r="M103" s="12" t="str"/>
      <x:c r="N103" s="12" t="str"/>
      <x:c r="O103" s="40" t="str"/>
    </x:row>
    <x:row r="104">
      <x:c r="A104" s="12" t="str">
        <x:v>PY-014</x:v>
      </x:c>
      <x:c r="B104" s="12" t="str">
        <x:v>Python Backend/DB</x:v>
      </x:c>
      <x:c r="C104" s="12" t="str">
        <x:v>component</x:v>
      </x:c>
      <x:c r="D104" s="12" t="str">
        <x:v>test_alert_stable_key_is_idempotent</x:v>
      </x:c>
      <x:c r="E104" s="12" t="str"/>
      <x:c r="F104" s="12" t="str">
        <x:v>Host Python environment</x:v>
      </x:c>
      <x:c r="G104" s="12" t="str">
        <x:v>make python-test</x:v>
      </x:c>
      <x:c r="H104" s="12" t="str">
        <x:v>Unit/integration assertion passes</x:v>
      </x:c>
      <x:c r="I104" s="12" t="str">
        <x:v>Automated</x:v>
      </x:c>
      <x:c r="J104" s="12" t="str">
        <x:v>PASS</x:v>
      </x:c>
      <x:c r="K104" s="12" t="str">
        <x:v>N/A</x:v>
      </x:c>
      <x:c r="L104" s="12" t="str">
        <x:v>tests/python/test_database_schema.py</x:v>
      </x:c>
      <x:c r="M104" s="12" t="str"/>
      <x:c r="N104" s="12" t="str"/>
      <x:c r="O104" s="40" t="str"/>
    </x:row>
    <x:row r="105">
      <x:c r="A105" s="12" t="str">
        <x:v>PY-015</x:v>
      </x:c>
      <x:c r="B105" s="12" t="str">
        <x:v>Python Backend/DB</x:v>
      </x:c>
      <x:c r="C105" s="12" t="str">
        <x:v>component</x:v>
      </x:c>
      <x:c r="D105" s="12" t="str">
        <x:v>test_routine_window_is_persistable_for_reboot_recovery</x:v>
      </x:c>
      <x:c r="E105" s="12" t="str"/>
      <x:c r="F105" s="12" t="str">
        <x:v>Host Python environment</x:v>
      </x:c>
      <x:c r="G105" s="12" t="str">
        <x:v>make python-test</x:v>
      </x:c>
      <x:c r="H105" s="12" t="str">
        <x:v>Unit/integration assertion passes</x:v>
      </x:c>
      <x:c r="I105" s="12" t="str">
        <x:v>Automated</x:v>
      </x:c>
      <x:c r="J105" s="12" t="str">
        <x:v>PASS</x:v>
      </x:c>
      <x:c r="K105" s="12" t="str">
        <x:v>N/A</x:v>
      </x:c>
      <x:c r="L105" s="12" t="str">
        <x:v>tests/python/test_database_schema.py</x:v>
      </x:c>
      <x:c r="M105" s="12" t="str"/>
      <x:c r="N105" s="12" t="str"/>
      <x:c r="O105" s="40" t="str"/>
    </x:row>
    <x:row r="106">
      <x:c r="A106" s="12" t="str">
        <x:v>PY-016</x:v>
      </x:c>
      <x:c r="B106" s="12" t="str">
        <x:v>Python Backend/DB</x:v>
      </x:c>
      <x:c r="C106" s="12" t="str">
        <x:v>component</x:v>
      </x:c>
      <x:c r="D106" s="12" t="str">
        <x:v>test_notification_job_idempotency_and_human_ack_are_separate</x:v>
      </x:c>
      <x:c r="E106" s="12" t="str"/>
      <x:c r="F106" s="12" t="str">
        <x:v>Host Python environment</x:v>
      </x:c>
      <x:c r="G106" s="12" t="str">
        <x:v>make python-test</x:v>
      </x:c>
      <x:c r="H106" s="12" t="str">
        <x:v>Unit/integration assertion passes</x:v>
      </x:c>
      <x:c r="I106" s="12" t="str">
        <x:v>Automated</x:v>
      </x:c>
      <x:c r="J106" s="12" t="str">
        <x:v>PASS</x:v>
      </x:c>
      <x:c r="K106" s="12" t="str">
        <x:v>N/A</x:v>
      </x:c>
      <x:c r="L106" s="12" t="str">
        <x:v>tests/python/test_database_schema.py</x:v>
      </x:c>
      <x:c r="M106" s="12" t="str"/>
      <x:c r="N106" s="12" t="str"/>
      <x:c r="O106" s="40" t="str"/>
    </x:row>
    <x:row r="107">
      <x:c r="A107" s="12" t="str">
        <x:v>PY-017</x:v>
      </x:c>
      <x:c r="B107" s="12" t="str">
        <x:v>Python Backend/DB</x:v>
      </x:c>
      <x:c r="C107" s="12" t="str">
        <x:v>component</x:v>
      </x:c>
      <x:c r="D107" s="12" t="str">
        <x:v>test_device_health_is_not_resident_activity</x:v>
      </x:c>
      <x:c r="E107" s="12" t="str"/>
      <x:c r="F107" s="12" t="str">
        <x:v>Host Python environment</x:v>
      </x:c>
      <x:c r="G107" s="12" t="str">
        <x:v>make python-test</x:v>
      </x:c>
      <x:c r="H107" s="12" t="str">
        <x:v>Unit/integration assertion passes</x:v>
      </x:c>
      <x:c r="I107" s="12" t="str">
        <x:v>Automated</x:v>
      </x:c>
      <x:c r="J107" s="12" t="str">
        <x:v>PASS</x:v>
      </x:c>
      <x:c r="K107" s="12" t="str">
        <x:v>N/A</x:v>
      </x:c>
      <x:c r="L107" s="12" t="str">
        <x:v>tests/python/test_database_schema.py</x:v>
      </x:c>
      <x:c r="M107" s="12" t="str"/>
      <x:c r="N107" s="12" t="str"/>
      <x:c r="O107" s="40" t="str"/>
    </x:row>
    <x:row r="108">
      <x:c r="A108" s="12" t="str">
        <x:v>PY-018</x:v>
      </x:c>
      <x:c r="B108" s="12" t="str">
        <x:v>Python Backend/DB</x:v>
      </x:c>
      <x:c r="C108" s="12" t="str">
        <x:v>component</x:v>
      </x:c>
      <x:c r="D108" s="12" t="str">
        <x:v>test_production_keeps_error_and_filters_trace</x:v>
      </x:c>
      <x:c r="E108" s="12" t="str"/>
      <x:c r="F108" s="12" t="str">
        <x:v>Host Python environment</x:v>
      </x:c>
      <x:c r="G108" s="12" t="str">
        <x:v>make python-test</x:v>
      </x:c>
      <x:c r="H108" s="12" t="str">
        <x:v>Unit/integration assertion passes</x:v>
      </x:c>
      <x:c r="I108" s="12" t="str">
        <x:v>Automated</x:v>
      </x:c>
      <x:c r="J108" s="12" t="str">
        <x:v>PASS</x:v>
      </x:c>
      <x:c r="K108" s="12" t="str">
        <x:v>N/A</x:v>
      </x:c>
      <x:c r="L108" s="12" t="str">
        <x:v>tests/python/test_logging.py</x:v>
      </x:c>
      <x:c r="M108" s="12" t="str"/>
      <x:c r="N108" s="12" t="str"/>
      <x:c r="O108" s="40" t="str"/>
    </x:row>
    <x:row r="109">
      <x:c r="A109" s="12" t="str">
        <x:v>PY-019</x:v>
      </x:c>
      <x:c r="B109" s="12" t="str">
        <x:v>Python Backend/DB</x:v>
      </x:c>
      <x:c r="C109" s="12" t="str">
        <x:v>component</x:v>
      </x:c>
      <x:c r="D109" s="12" t="str">
        <x:v>test_development_trace_records_flow</x:v>
      </x:c>
      <x:c r="E109" s="12" t="str"/>
      <x:c r="F109" s="12" t="str">
        <x:v>Host Python environment</x:v>
      </x:c>
      <x:c r="G109" s="12" t="str">
        <x:v>make python-test</x:v>
      </x:c>
      <x:c r="H109" s="12" t="str">
        <x:v>Unit/integration assertion passes</x:v>
      </x:c>
      <x:c r="I109" s="12" t="str">
        <x:v>Automated</x:v>
      </x:c>
      <x:c r="J109" s="12" t="str">
        <x:v>PASS</x:v>
      </x:c>
      <x:c r="K109" s="12" t="str">
        <x:v>N/A</x:v>
      </x:c>
      <x:c r="L109" s="12" t="str">
        <x:v>tests/python/test_logging.py</x:v>
      </x:c>
      <x:c r="M109" s="12" t="str"/>
      <x:c r="N109" s="12" t="str"/>
      <x:c r="O109" s="40" t="str"/>
    </x:row>
    <x:row r="110">
      <x:c r="A110" s="12" t="str">
        <x:v>PY-020</x:v>
      </x:c>
      <x:c r="B110" s="12" t="str">
        <x:v>Python Backend/DB</x:v>
      </x:c>
      <x:c r="C110" s="12" t="str">
        <x:v>component</x:v>
      </x:c>
      <x:c r="D110" s="12" t="str">
        <x:v>test_feature_flags_are_safe_by_default</x:v>
      </x:c>
      <x:c r="E110" s="12" t="str"/>
      <x:c r="F110" s="12" t="str">
        <x:v>Host Python environment</x:v>
      </x:c>
      <x:c r="G110" s="12" t="str">
        <x:v>make python-test</x:v>
      </x:c>
      <x:c r="H110" s="12" t="str">
        <x:v>Unit/integration assertion passes</x:v>
      </x:c>
      <x:c r="I110" s="12" t="str">
        <x:v>Automated</x:v>
      </x:c>
      <x:c r="J110" s="12" t="str">
        <x:v>PASS</x:v>
      </x:c>
      <x:c r="K110" s="12" t="str">
        <x:v>N/A</x:v>
      </x:c>
      <x:c r="L110" s="12" t="str">
        <x:v>tests/python/test_logging.py</x:v>
      </x:c>
      <x:c r="M110" s="12" t="str"/>
      <x:c r="N110" s="12" t="str"/>
      <x:c r="O110" s="40" t="str"/>
    </x:row>
    <x:row r="111">
      <x:c r="A111" s="12" t="str">
        <x:v>PY-021</x:v>
      </x:c>
      <x:c r="B111" s="12" t="str">
        <x:v>Python Backend/DB</x:v>
      </x:c>
      <x:c r="C111" s="12" t="str">
        <x:v>component</x:v>
      </x:c>
      <x:c r="D111" s="12" t="str">
        <x:v>test_catalog_has_required_categories_and_unique_ids</x:v>
      </x:c>
      <x:c r="E111" s="12" t="str"/>
      <x:c r="F111" s="12" t="str">
        <x:v>Host Python environment</x:v>
      </x:c>
      <x:c r="G111" s="12" t="str">
        <x:v>make python-test</x:v>
      </x:c>
      <x:c r="H111" s="12" t="str">
        <x:v>Unit/integration assertion passes</x:v>
      </x:c>
      <x:c r="I111" s="12" t="str">
        <x:v>Automated</x:v>
      </x:c>
      <x:c r="J111" s="12" t="str">
        <x:v>PASS</x:v>
      </x:c>
      <x:c r="K111" s="12" t="str">
        <x:v>N/A</x:v>
      </x:c>
      <x:c r="L111" s="12" t="str">
        <x:v>tests/python/test_validation_framework.py</x:v>
      </x:c>
      <x:c r="M111" s="12" t="str"/>
      <x:c r="N111" s="12" t="str"/>
      <x:c r="O111" s="40" t="str"/>
    </x:row>
    <x:row r="112">
      <x:c r="A112" s="12" t="str">
        <x:v>PY-022</x:v>
      </x:c>
      <x:c r="B112" s="12" t="str">
        <x:v>Python Backend/DB</x:v>
      </x:c>
      <x:c r="C112" s="12" t="str">
        <x:v>component</x:v>
      </x:c>
      <x:c r="D112" s="12" t="str">
        <x:v>test_all_fault_codes_have_scenarios</x:v>
      </x:c>
      <x:c r="E112" s="12" t="str"/>
      <x:c r="F112" s="12" t="str">
        <x:v>Host Python environment</x:v>
      </x:c>
      <x:c r="G112" s="12" t="str">
        <x:v>make python-test</x:v>
      </x:c>
      <x:c r="H112" s="12" t="str">
        <x:v>Unit/integration assertion passes</x:v>
      </x:c>
      <x:c r="I112" s="12" t="str">
        <x:v>Automated</x:v>
      </x:c>
      <x:c r="J112" s="12" t="str">
        <x:v>PASS</x:v>
      </x:c>
      <x:c r="K112" s="12" t="str">
        <x:v>N/A</x:v>
      </x:c>
      <x:c r="L112" s="12" t="str">
        <x:v>tests/python/test_validation_framework.py</x:v>
      </x:c>
      <x:c r="M112" s="12" t="str"/>
      <x:c r="N112" s="12" t="str"/>
      <x:c r="O112" s="40" t="str"/>
    </x:row>
    <x:row r="113">
      <x:c r="A113" s="12" t="str">
        <x:v>PY-023</x:v>
      </x:c>
      <x:c r="B113" s="12" t="str">
        <x:v>Python Backend/DB</x:v>
      </x:c>
      <x:c r="C113" s="12" t="str">
        <x:v>component</x:v>
      </x:c>
      <x:c r="D113" s="12" t="str">
        <x:v>test_manual_plan_is_generated</x:v>
      </x:c>
      <x:c r="E113" s="12" t="str"/>
      <x:c r="F113" s="12" t="str">
        <x:v>Host Python environment</x:v>
      </x:c>
      <x:c r="G113" s="12" t="str">
        <x:v>make python-test</x:v>
      </x:c>
      <x:c r="H113" s="12" t="str">
        <x:v>Unit/integration assertion passes</x:v>
      </x:c>
      <x:c r="I113" s="12" t="str">
        <x:v>Automated</x:v>
      </x:c>
      <x:c r="J113" s="12" t="str">
        <x:v>PASS</x:v>
      </x:c>
      <x:c r="K113" s="12" t="str">
        <x:v>N/A</x:v>
      </x:c>
      <x:c r="L113" s="12" t="str">
        <x:v>tests/python/test_validation_framework.py</x:v>
      </x:c>
      <x:c r="M113" s="12" t="str"/>
      <x:c r="N113" s="12" t="str"/>
      <x:c r="O113" s="40" t="str"/>
    </x:row>
    <x:row r="114">
      <x:c r="A114" s="12" t="str">
        <x:v>PY-024</x:v>
      </x:c>
      <x:c r="B114" s="12" t="str">
        <x:v>Python Backend/DB</x:v>
      </x:c>
      <x:c r="C114" s="12" t="str">
        <x:v>component</x:v>
      </x:c>
      <x:c r="D114" s="12" t="str">
        <x:v>test_dummy_streams_exist</x:v>
      </x:c>
      <x:c r="E114" s="12" t="str"/>
      <x:c r="F114" s="12" t="str">
        <x:v>Host Python environment</x:v>
      </x:c>
      <x:c r="G114" s="12" t="str">
        <x:v>make python-test</x:v>
      </x:c>
      <x:c r="H114" s="12" t="str">
        <x:v>Unit/integration assertion passes</x:v>
      </x:c>
      <x:c r="I114" s="12" t="str">
        <x:v>Automated</x:v>
      </x:c>
      <x:c r="J114" s="12" t="str">
        <x:v>PASS</x:v>
      </x:c>
      <x:c r="K114" s="12" t="str">
        <x:v>N/A</x:v>
      </x:c>
      <x:c r="L114" s="12" t="str">
        <x:v>tests/python/test_validation_framework.py</x:v>
      </x:c>
      <x:c r="M114" s="12" t="str"/>
      <x:c r="N114" s="12" t="str"/>
      <x:c r="O114" s="40" t="str"/>
    </x:row>
    <x:row r="115">
      <x:c r="A115" s="12" t="str">
        <x:v>JS-001</x:v>
      </x:c>
      <x:c r="B115" s="12" t="str">
        <x:v>JavaScript App</x:v>
      </x:c>
      <x:c r="C115" s="12" t="str">
        <x:v>component</x:v>
      </x:c>
      <x:c r="D115" s="12" t="str">
        <x:v>A01 requires resident consent and distinct backup</x:v>
      </x:c>
      <x:c r="E115" s="12" t="str"/>
      <x:c r="F115" s="12" t="str">
        <x:v>Node test runner</x:v>
      </x:c>
      <x:c r="G115" s="12" t="str">
        <x:v>make app-test</x:v>
      </x:c>
      <x:c r="H115" s="12" t="str">
        <x:v>App semantic assertion passes</x:v>
      </x:c>
      <x:c r="I115" s="12" t="str">
        <x:v>Automated</x:v>
      </x:c>
      <x:c r="J115" s="12" t="str">
        <x:v>PASS</x:v>
      </x:c>
      <x:c r="K115" s="12" t="str">
        <x:v>N/A</x:v>
      </x:c>
      <x:c r="L115" s="12" t="str">
        <x:v>tests/js/app.test.mjs</x:v>
      </x:c>
      <x:c r="M115" s="12" t="str"/>
      <x:c r="N115" s="12" t="str"/>
      <x:c r="O115" s="40" t="str"/>
    </x:row>
    <x:row r="116">
      <x:c r="A116" s="12" t="str">
        <x:v>JS-002</x:v>
      </x:c>
      <x:c r="B116" s="12" t="str">
        <x:v>JavaScript App</x:v>
      </x:c>
      <x:c r="C116" s="12" t="str">
        <x:v>component</x:v>
      </x:c>
      <x:c r="D116" s="12" t="str">
        <x:v>A01 installation gate enumerates missing device tests</x:v>
      </x:c>
      <x:c r="E116" s="12" t="str"/>
      <x:c r="F116" s="12" t="str">
        <x:v>Node test runner</x:v>
      </x:c>
      <x:c r="G116" s="12" t="str">
        <x:v>make app-test</x:v>
      </x:c>
      <x:c r="H116" s="12" t="str">
        <x:v>App semantic assertion passes</x:v>
      </x:c>
      <x:c r="I116" s="12" t="str">
        <x:v>Automated</x:v>
      </x:c>
      <x:c r="J116" s="12" t="str">
        <x:v>PASS</x:v>
      </x:c>
      <x:c r="K116" s="12" t="str">
        <x:v>N/A</x:v>
      </x:c>
      <x:c r="L116" s="12" t="str">
        <x:v>tests/js/app.test.mjs</x:v>
      </x:c>
      <x:c r="M116" s="12" t="str"/>
      <x:c r="N116" s="12" t="str"/>
      <x:c r="O116" s="40" t="str"/>
    </x:row>
    <x:row r="117">
      <x:c r="A117" s="12" t="str">
        <x:v>JS-003</x:v>
      </x:c>
      <x:c r="B117" s="12" t="str">
        <x:v>JavaScript App</x:v>
      </x:c>
      <x:c r="C117" s="12" t="str">
        <x:v>component</x:v>
      </x:c>
      <x:c r="D117" s="12" t="str">
        <x:v>A02 never converts absent evidence into wellbeing</x:v>
      </x:c>
      <x:c r="E117" s="12" t="str"/>
      <x:c r="F117" s="12" t="str">
        <x:v>Node test runner</x:v>
      </x:c>
      <x:c r="G117" s="12" t="str">
        <x:v>make app-test</x:v>
      </x:c>
      <x:c r="H117" s="12" t="str">
        <x:v>App semantic assertion passes</x:v>
      </x:c>
      <x:c r="I117" s="12" t="str">
        <x:v>Automated</x:v>
      </x:c>
      <x:c r="J117" s="12" t="str">
        <x:v>PASS</x:v>
      </x:c>
      <x:c r="K117" s="12" t="str">
        <x:v>N/A</x:v>
      </x:c>
      <x:c r="L117" s="12" t="str">
        <x:v>tests/js/app.test.mjs</x:v>
      </x:c>
      <x:c r="M117" s="12" t="str"/>
      <x:c r="N117" s="12" t="str"/>
      <x:c r="O117" s="40" t="str"/>
    </x:row>
    <x:row r="118">
      <x:c r="A118" s="12" t="str">
        <x:v>JS-004</x:v>
      </x:c>
      <x:c r="B118" s="12" t="str">
        <x:v>JavaScript App</x:v>
      </x:c>
      <x:c r="C118" s="12" t="str">
        <x:v>component</x:v>
      </x:c>
      <x:c r="D118" s="12" t="str">
        <x:v>A02 presents exact activity meaning and age</x:v>
      </x:c>
      <x:c r="E118" s="12" t="str"/>
      <x:c r="F118" s="12" t="str">
        <x:v>Node test runner</x:v>
      </x:c>
      <x:c r="G118" s="12" t="str">
        <x:v>make app-test</x:v>
      </x:c>
      <x:c r="H118" s="12" t="str">
        <x:v>App semantic assertion passes</x:v>
      </x:c>
      <x:c r="I118" s="12" t="str">
        <x:v>Automated</x:v>
      </x:c>
      <x:c r="J118" s="12" t="str">
        <x:v>PASS</x:v>
      </x:c>
      <x:c r="K118" s="12" t="str">
        <x:v>N/A</x:v>
      </x:c>
      <x:c r="L118" s="12" t="str">
        <x:v>tests/js/app.test.mjs</x:v>
      </x:c>
      <x:c r="M118" s="12" t="str"/>
      <x:c r="N118" s="12" t="str"/>
      <x:c r="O118" s="40" t="str"/>
    </x:row>
    <x:row r="119">
      <x:c r="A119" s="12" t="str">
        <x:v>JS-005</x:v>
      </x:c>
      <x:c r="B119" s="12" t="str">
        <x:v>JavaScript App</x:v>
      </x:c>
      <x:c r="C119" s="12" t="str">
        <x:v>component</x:v>
      </x:c>
      <x:c r="D119" s="12" t="str">
        <x:v>A02 presents daytime inactivity as a concern</x:v>
      </x:c>
      <x:c r="E119" s="12" t="str"/>
      <x:c r="F119" s="12" t="str">
        <x:v>Node test runner</x:v>
      </x:c>
      <x:c r="G119" s="12" t="str">
        <x:v>make app-test</x:v>
      </x:c>
      <x:c r="H119" s="12" t="str">
        <x:v>App semantic assertion passes</x:v>
      </x:c>
      <x:c r="I119" s="12" t="str">
        <x:v>Automated</x:v>
      </x:c>
      <x:c r="J119" s="12" t="str">
        <x:v>PASS</x:v>
      </x:c>
      <x:c r="K119" s="12" t="str">
        <x:v>N/A</x:v>
      </x:c>
      <x:c r="L119" s="12" t="str">
        <x:v>tests/js/app.test.mjs</x:v>
      </x:c>
      <x:c r="M119" s="12" t="str"/>
      <x:c r="N119" s="12" t="str"/>
      <x:c r="O119" s="40" t="str"/>
    </x:row>
    <x:row r="120">
      <x:c r="A120" s="12" t="str">
        <x:v>JS-006</x:v>
      </x:c>
      <x:c r="B120" s="12" t="str">
        <x:v>JavaScript App</x:v>
      </x:c>
      <x:c r="C120" s="12" t="str">
        <x:v>component</x:v>
      </x:c>
      <x:c r="D120" s="12" t="str">
        <x:v>A03 produces versioned routine and household-policy config</x:v>
      </x:c>
      <x:c r="E120" s="12" t="str"/>
      <x:c r="F120" s="12" t="str">
        <x:v>Node test runner</x:v>
      </x:c>
      <x:c r="G120" s="12" t="str">
        <x:v>make app-test</x:v>
      </x:c>
      <x:c r="H120" s="12" t="str">
        <x:v>App semantic assertion passes</x:v>
      </x:c>
      <x:c r="I120" s="12" t="str">
        <x:v>Automated</x:v>
      </x:c>
      <x:c r="J120" s="12" t="str">
        <x:v>PASS</x:v>
      </x:c>
      <x:c r="K120" s="12" t="str">
        <x:v>N/A</x:v>
      </x:c>
      <x:c r="L120" s="12" t="str">
        <x:v>tests/js/app.test.mjs</x:v>
      </x:c>
      <x:c r="M120" s="12" t="str"/>
      <x:c r="N120" s="12" t="str"/>
      <x:c r="O120" s="40" t="str"/>
    </x:row>
    <x:row r="121">
      <x:c r="A121" s="12" t="str">
        <x:v>JS-007</x:v>
      </x:c>
      <x:c r="B121" s="12" t="str">
        <x:v>JavaScript App</x:v>
      </x:c>
      <x:c r="C121" s="12" t="str">
        <x:v>component</x:v>
      </x:c>
      <x:c r="D121" s="12" t="str">
        <x:v>A04 prevents action when another caregiver owns a live lease</x:v>
      </x:c>
      <x:c r="E121" s="12" t="str"/>
      <x:c r="F121" s="12" t="str">
        <x:v>Node test runner</x:v>
      </x:c>
      <x:c r="G121" s="12" t="str">
        <x:v>make app-test</x:v>
      </x:c>
      <x:c r="H121" s="12" t="str">
        <x:v>App semantic assertion passes</x:v>
      </x:c>
      <x:c r="I121" s="12" t="str">
        <x:v>Automated</x:v>
      </x:c>
      <x:c r="J121" s="12" t="str">
        <x:v>PASS</x:v>
      </x:c>
      <x:c r="K121" s="12" t="str">
        <x:v>N/A</x:v>
      </x:c>
      <x:c r="L121" s="12" t="str">
        <x:v>tests/js/app.test.mjs</x:v>
      </x:c>
      <x:c r="M121" s="12" t="str"/>
      <x:c r="N121" s="12" t="str"/>
      <x:c r="O121" s="40" t="str"/>
    </x:row>
    <x:row r="122">
      <x:c r="A122" s="12" t="str">
        <x:v>JS-008</x:v>
      </x:c>
      <x:c r="B122" s="12" t="str">
        <x:v>JavaScript App</x:v>
      </x:c>
      <x:c r="C122" s="12" t="str">
        <x:v>component</x:v>
      </x:c>
      <x:c r="D122" s="12" t="str">
        <x:v>A05 cache rejects older versions and reports push gaps</x:v>
      </x:c>
      <x:c r="E122" s="12" t="str"/>
      <x:c r="F122" s="12" t="str">
        <x:v>Node test runner</x:v>
      </x:c>
      <x:c r="G122" s="12" t="str">
        <x:v>make app-test</x:v>
      </x:c>
      <x:c r="H122" s="12" t="str">
        <x:v>App semantic assertion passes</x:v>
      </x:c>
      <x:c r="I122" s="12" t="str">
        <x:v>Automated</x:v>
      </x:c>
      <x:c r="J122" s="12" t="str">
        <x:v>PASS</x:v>
      </x:c>
      <x:c r="K122" s="12" t="str">
        <x:v>N/A</x:v>
      </x:c>
      <x:c r="L122" s="12" t="str">
        <x:v>tests/js/app.test.mjs</x:v>
      </x:c>
      <x:c r="M122" s="12" t="str"/>
      <x:c r="N122" s="12" t="str"/>
      <x:c r="O122" s="40" t="str"/>
    </x:row>
    <x:row r="123">
      <x:c r="A123" s="12" t="str">
        <x:v>JS-009</x:v>
      </x:c>
      <x:c r="B123" s="12" t="str">
        <x:v>JavaScript App</x:v>
      </x:c>
      <x:c r="C123" s="12" t="str">
        <x:v>component</x:v>
      </x:c>
      <x:c r="D123" s="12" t="str">
        <x:v>A05 logger retains errors and applies the build trace gate</x:v>
      </x:c>
      <x:c r="E123" s="12" t="str"/>
      <x:c r="F123" s="12" t="str">
        <x:v>Node test runner</x:v>
      </x:c>
      <x:c r="G123" s="12" t="str">
        <x:v>make app-test</x:v>
      </x:c>
      <x:c r="H123" s="12" t="str">
        <x:v>App semantic assertion passes</x:v>
      </x:c>
      <x:c r="I123" s="12" t="str">
        <x:v>Automated</x:v>
      </x:c>
      <x:c r="J123" s="12" t="str">
        <x:v>PASS</x:v>
      </x:c>
      <x:c r="K123" s="12" t="str">
        <x:v>N/A</x:v>
      </x:c>
      <x:c r="L123" s="12" t="str">
        <x:v>tests/js/app.test.mjs</x:v>
      </x:c>
      <x:c r="M123" s="12" t="str"/>
      <x:c r="N123" s="12" t="str"/>
      <x:c r="O123" s="40" t="str"/>
    </x:row>
    <x:row r="124">
      <x:c r="A124" s="12" t="str">
        <x:v>JS-010</x:v>
      </x:c>
      <x:c r="B124" s="12" t="str">
        <x:v>JavaScript App</x:v>
      </x:c>
      <x:c r="C124" s="12" t="str">
        <x:v>component</x:v>
      </x:c>
      <x:c r="D124" s="12" t="str">
        <x:v>feature flags keep unfinished capabilities disabled</x:v>
      </x:c>
      <x:c r="E124" s="12" t="str"/>
      <x:c r="F124" s="12" t="str">
        <x:v>Node test runner</x:v>
      </x:c>
      <x:c r="G124" s="12" t="str">
        <x:v>make app-test</x:v>
      </x:c>
      <x:c r="H124" s="12" t="str">
        <x:v>App semantic assertion passes</x:v>
      </x:c>
      <x:c r="I124" s="12" t="str">
        <x:v>Automated</x:v>
      </x:c>
      <x:c r="J124" s="12" t="str">
        <x:v>PASS</x:v>
      </x:c>
      <x:c r="K124" s="12" t="str">
        <x:v>N/A</x:v>
      </x:c>
      <x:c r="L124" s="12" t="str">
        <x:v>tests/js/app.test.mjs</x:v>
      </x:c>
      <x:c r="M124" s="12" t="str"/>
      <x:c r="N124" s="12" t="str"/>
      <x:c r="O124" s="40" t="str"/>
    </x:row>
    <x:row r="125">
      <x:c r="A125" s="12" t="str">
        <x:v>CPP-001</x:v>
      </x:c>
      <x:c r="B125" s="12" t="str">
        <x:v>C++ Unit/Component</x:v>
      </x:c>
      <x:c r="C125" s="12" t="str">
        <x:v>component</x:v>
      </x:c>
      <x:c r="D125" s="12" t="str">
        <x:v>initial PIR sample must not emit</x:v>
      </x:c>
      <x:c r="E125" s="12" t="str"/>
      <x:c r="F125" s="12" t="str">
        <x:v>Host C++ build</x:v>
      </x:c>
      <x:c r="G125" s="12" t="str">
        <x:v>make cpp-test</x:v>
      </x:c>
      <x:c r="H125" s="12" t="str">
        <x:v>check() assertion passes</x:v>
      </x:c>
      <x:c r="I125" s="12" t="str">
        <x:v>Automated</x:v>
      </x:c>
      <x:c r="J125" s="12" t="str">
        <x:v>PASS*</x:v>
      </x:c>
      <x:c r="K125" s="12" t="str">
        <x:v>N/A</x:v>
      </x:c>
      <x:c r="L125" s="12" t="str">
        <x:v>tests/cpp/test_main.cpp</x:v>
      </x:c>
      <x:c r="M125" s="12" t="str"/>
      <x:c r="N125" s="12" t="str"/>
      <x:c r="O125" s="40" t="str">
        <x:v>*81 source checks; 80 execute in one trace profile because TRACE-on/off branch is conditional.</x:v>
      </x:c>
    </x:row>
    <x:row r="126">
      <x:c r="A126" s="12" t="str">
        <x:v>CPP-002</x:v>
      </x:c>
      <x:c r="B126" s="12" t="str">
        <x:v>C++ Unit/Component</x:v>
      </x:c>
      <x:c r="C126" s="12" t="str">
        <x:v>component</x:v>
      </x:c>
      <x:c r="D126" s="12" t="str">
        <x:v>edge must debounce</x:v>
      </x:c>
      <x:c r="E126" s="12" t="str"/>
      <x:c r="F126" s="12" t="str">
        <x:v>Host C++ build</x:v>
      </x:c>
      <x:c r="G126" s="12" t="str">
        <x:v>make cpp-test</x:v>
      </x:c>
      <x:c r="H126" s="12" t="str">
        <x:v>check() assertion passes</x:v>
      </x:c>
      <x:c r="I126" s="12" t="str">
        <x:v>Automated</x:v>
      </x:c>
      <x:c r="J126" s="12" t="str">
        <x:v>PASS*</x:v>
      </x:c>
      <x:c r="K126" s="12" t="str">
        <x:v>N/A</x:v>
      </x:c>
      <x:c r="L126" s="12" t="str">
        <x:v>tests/cpp/test_main.cpp</x:v>
      </x:c>
      <x:c r="M126" s="12" t="str"/>
      <x:c r="N126" s="12" t="str"/>
      <x:c r="O126" s="40" t="str">
        <x:v>*81 source checks; 80 execute in one trace profile because TRACE-on/off branch is conditional.</x:v>
      </x:c>
    </x:row>
    <x:row r="127">
      <x:c r="A127" s="12" t="str">
        <x:v>CPP-003</x:v>
      </x:c>
      <x:c r="B127" s="12" t="str">
        <x:v>C++ Unit/Component</x:v>
      </x:c>
      <x:c r="C127" s="12" t="str">
        <x:v>component</x:v>
      </x:c>
      <x:c r="D127" s="12" t="str">
        <x:v>stable PIR rise must emit motion</x:v>
      </x:c>
      <x:c r="E127" s="12" t="str"/>
      <x:c r="F127" s="12" t="str">
        <x:v>Host C++ build</x:v>
      </x:c>
      <x:c r="G127" s="12" t="str">
        <x:v>make cpp-test</x:v>
      </x:c>
      <x:c r="H127" s="12" t="str">
        <x:v>check() assertion passes</x:v>
      </x:c>
      <x:c r="I127" s="12" t="str">
        <x:v>Automated</x:v>
      </x:c>
      <x:c r="J127" s="12" t="str">
        <x:v>PASS*</x:v>
      </x:c>
      <x:c r="K127" s="12" t="str">
        <x:v>N/A</x:v>
      </x:c>
      <x:c r="L127" s="12" t="str">
        <x:v>tests/cpp/test_main.cpp</x:v>
      </x:c>
      <x:c r="M127" s="12" t="str"/>
      <x:c r="N127" s="12" t="str"/>
      <x:c r="O127" s="40" t="str">
        <x:v>*81 source checks; 80 execute in one trace profile because TRACE-on/off branch is conditional.</x:v>
      </x:c>
    </x:row>
    <x:row r="128">
      <x:c r="A128" s="12" t="str">
        <x:v>CPP-004</x:v>
      </x:c>
      <x:c r="B128" s="12" t="str">
        <x:v>C++ Unit/Component</x:v>
      </x:c>
      <x:c r="C128" s="12" t="str">
        <x:v>component</x:v>
      </x:c>
      <x:c r="D128" s="12" t="str">
        <x:v>PIR inactive edge has no business event</x:v>
      </x:c>
      <x:c r="E128" s="12" t="str"/>
      <x:c r="F128" s="12" t="str">
        <x:v>Host C++ build</x:v>
      </x:c>
      <x:c r="G128" s="12" t="str">
        <x:v>make cpp-test</x:v>
      </x:c>
      <x:c r="H128" s="12" t="str">
        <x:v>check() assertion passes</x:v>
      </x:c>
      <x:c r="I128" s="12" t="str">
        <x:v>Automated</x:v>
      </x:c>
      <x:c r="J128" s="12" t="str">
        <x:v>PASS*</x:v>
      </x:c>
      <x:c r="K128" s="12" t="str">
        <x:v>N/A</x:v>
      </x:c>
      <x:c r="L128" s="12" t="str">
        <x:v>tests/cpp/test_main.cpp</x:v>
      </x:c>
      <x:c r="M128" s="12" t="str"/>
      <x:c r="N128" s="12" t="str"/>
      <x:c r="O128" s="40" t="str">
        <x:v>*81 source checks; 80 execute in one trace profile because TRACE-on/off branch is conditional.</x:v>
      </x:c>
    </x:row>
    <x:row r="129">
      <x:c r="A129" s="12" t="str">
        <x:v>CPP-005</x:v>
      </x:c>
      <x:c r="B129" s="12" t="str">
        <x:v>C++ Unit/Component</x:v>
      </x:c>
      <x:c r="C129" s="12" t="str">
        <x:v>component</x:v>
      </x:c>
      <x:c r="D129" s="12" t="str">
        <x:v>business event persists</x:v>
      </x:c>
      <x:c r="E129" s="12" t="str"/>
      <x:c r="F129" s="12" t="str">
        <x:v>Host C++ build</x:v>
      </x:c>
      <x:c r="G129" s="12" t="str">
        <x:v>make cpp-test</x:v>
      </x:c>
      <x:c r="H129" s="12" t="str">
        <x:v>check() assertion passes</x:v>
      </x:c>
      <x:c r="I129" s="12" t="str">
        <x:v>Automated</x:v>
      </x:c>
      <x:c r="J129" s="12" t="str">
        <x:v>PASS*</x:v>
      </x:c>
      <x:c r="K129" s="12" t="str">
        <x:v>N/A</x:v>
      </x:c>
      <x:c r="L129" s="12" t="str">
        <x:v>tests/cpp/test_main.cpp</x:v>
      </x:c>
      <x:c r="M129" s="12" t="str"/>
      <x:c r="N129" s="12" t="str"/>
      <x:c r="O129" s="40" t="str">
        <x:v>*81 source checks; 80 execute in one trace profile because TRACE-on/off branch is conditional.</x:v>
      </x:c>
    </x:row>
    <x:row r="130">
      <x:c r="A130" s="12" t="str">
        <x:v>CPP-006</x:v>
      </x:c>
      <x:c r="B130" s="12" t="str">
        <x:v>C++ Unit/Component</x:v>
      </x:c>
      <x:c r="C130" s="12" t="str">
        <x:v>component</x:v>
      </x:c>
      <x:c r="D130" s="12" t="str">
        <x:v>volatile ack cannot retire business event</x:v>
      </x:c>
      <x:c r="E130" s="12" t="str"/>
      <x:c r="F130" s="12" t="str">
        <x:v>Host C++ build</x:v>
      </x:c>
      <x:c r="G130" s="12" t="str">
        <x:v>make cpp-test</x:v>
      </x:c>
      <x:c r="H130" s="12" t="str">
        <x:v>check() assertion passes</x:v>
      </x:c>
      <x:c r="I130" s="12" t="str">
        <x:v>Automated</x:v>
      </x:c>
      <x:c r="J130" s="12" t="str">
        <x:v>PASS*</x:v>
      </x:c>
      <x:c r="K130" s="12" t="str">
        <x:v>N/A</x:v>
      </x:c>
      <x:c r="L130" s="12" t="str">
        <x:v>tests/cpp/test_main.cpp</x:v>
      </x:c>
      <x:c r="M130" s="12" t="str"/>
      <x:c r="N130" s="12" t="str"/>
      <x:c r="O130" s="40" t="str">
        <x:v>*81 source checks; 80 execute in one trace profile because TRACE-on/off branch is conditional.</x:v>
      </x:c>
    </x:row>
    <x:row r="131">
      <x:c r="A131" s="12" t="str">
        <x:v>CPP-007</x:v>
      </x:c>
      <x:c r="B131" s="12" t="str">
        <x:v>C++ Unit/Component</x:v>
      </x:c>
      <x:c r="C131" s="12" t="str">
        <x:v>component</x:v>
      </x:c>
      <x:c r="D131" s="12" t="str">
        <x:v>durable ack retires event</x:v>
      </x:c>
      <x:c r="E131" s="12" t="str"/>
      <x:c r="F131" s="12" t="str">
        <x:v>Host C++ build</x:v>
      </x:c>
      <x:c r="G131" s="12" t="str">
        <x:v>make cpp-test</x:v>
      </x:c>
      <x:c r="H131" s="12" t="str">
        <x:v>check() assertion passes</x:v>
      </x:c>
      <x:c r="I131" s="12" t="str">
        <x:v>Automated</x:v>
      </x:c>
      <x:c r="J131" s="12" t="str">
        <x:v>PASS*</x:v>
      </x:c>
      <x:c r="K131" s="12" t="str">
        <x:v>N/A</x:v>
      </x:c>
      <x:c r="L131" s="12" t="str">
        <x:v>tests/cpp/test_main.cpp</x:v>
      </x:c>
      <x:c r="M131" s="12" t="str"/>
      <x:c r="N131" s="12" t="str"/>
      <x:c r="O131" s="40" t="str">
        <x:v>*81 source checks; 80 execute in one trace profile because TRACE-on/off branch is conditional.</x:v>
      </x:c>
    </x:row>
    <x:row r="132">
      <x:c r="A132" s="12" t="str">
        <x:v>CPP-008</x:v>
      </x:c>
      <x:c r="B132" s="12" t="str">
        <x:v>C++ Unit/Component</x:v>
      </x:c>
      <x:c r="C132" s="12" t="str">
        <x:v>component</x:v>
      </x:c>
      <x:c r="D132" s="12" t="str">
        <x:v>radio queue accepts event</x:v>
      </x:c>
      <x:c r="E132" s="12" t="str"/>
      <x:c r="F132" s="12" t="str">
        <x:v>Host C++ build</x:v>
      </x:c>
      <x:c r="G132" s="12" t="str">
        <x:v>make cpp-test</x:v>
      </x:c>
      <x:c r="H132" s="12" t="str">
        <x:v>check() assertion passes</x:v>
      </x:c>
      <x:c r="I132" s="12" t="str">
        <x:v>Automated</x:v>
      </x:c>
      <x:c r="J132" s="12" t="str">
        <x:v>PASS*</x:v>
      </x:c>
      <x:c r="K132" s="12" t="str">
        <x:v>N/A</x:v>
      </x:c>
      <x:c r="L132" s="12" t="str">
        <x:v>tests/cpp/test_main.cpp</x:v>
      </x:c>
      <x:c r="M132" s="12" t="str"/>
      <x:c r="N132" s="12" t="str"/>
      <x:c r="O132" s="40" t="str">
        <x:v>*81 source checks; 80 execute in one trace profile because TRACE-on/off branch is conditional.</x:v>
      </x:c>
    </x:row>
    <x:row r="133">
      <x:c r="A133" s="12" t="str">
        <x:v>CPP-009</x:v>
      </x:c>
      <x:c r="B133" s="12" t="str">
        <x:v>C++ Unit/Component</x:v>
      </x:c>
      <x:c r="C133" s="12" t="str">
        <x:v>component</x:v>
      </x:c>
      <x:c r="D133" s="12" t="str">
        <x:v>queued event is due immediately</x:v>
      </x:c>
      <x:c r="E133" s="12" t="str"/>
      <x:c r="F133" s="12" t="str">
        <x:v>Host C++ build</x:v>
      </x:c>
      <x:c r="G133" s="12" t="str">
        <x:v>make cpp-test</x:v>
      </x:c>
      <x:c r="H133" s="12" t="str">
        <x:v>check() assertion passes</x:v>
      </x:c>
      <x:c r="I133" s="12" t="str">
        <x:v>Automated</x:v>
      </x:c>
      <x:c r="J133" s="12" t="str">
        <x:v>PASS*</x:v>
      </x:c>
      <x:c r="K133" s="12" t="str">
        <x:v>N/A</x:v>
      </x:c>
      <x:c r="L133" s="12" t="str">
        <x:v>tests/cpp/test_main.cpp</x:v>
      </x:c>
      <x:c r="M133" s="12" t="str"/>
      <x:c r="N133" s="12" t="str"/>
      <x:c r="O133" s="40" t="str">
        <x:v>*81 source checks; 80 execute in one trace profile because TRACE-on/off branch is conditional.</x:v>
      </x:c>
    </x:row>
    <x:row r="134">
      <x:c r="A134" s="12" t="str">
        <x:v>CPP-010</x:v>
      </x:c>
      <x:c r="B134" s="12" t="str">
        <x:v>C++ Unit/Component</x:v>
      </x:c>
      <x:c r="C134" s="12" t="str">
        <x:v>component</x:v>
      </x:c>
      <x:c r="D134" s="12" t="str">
        <x:v>radio preserves business event on volatile ack</x:v>
      </x:c>
      <x:c r="E134" s="12" t="str"/>
      <x:c r="F134" s="12" t="str">
        <x:v>Host C++ build</x:v>
      </x:c>
      <x:c r="G134" s="12" t="str">
        <x:v>make cpp-test</x:v>
      </x:c>
      <x:c r="H134" s="12" t="str">
        <x:v>check() assertion passes</x:v>
      </x:c>
      <x:c r="I134" s="12" t="str">
        <x:v>Automated</x:v>
      </x:c>
      <x:c r="J134" s="12" t="str">
        <x:v>PASS*</x:v>
      </x:c>
      <x:c r="K134" s="12" t="str">
        <x:v>N/A</x:v>
      </x:c>
      <x:c r="L134" s="12" t="str">
        <x:v>tests/cpp/test_main.cpp</x:v>
      </x:c>
      <x:c r="M134" s="12" t="str"/>
      <x:c r="N134" s="12" t="str"/>
      <x:c r="O134" s="40" t="str">
        <x:v>*81 source checks; 80 execute in one trace profile because TRACE-on/off branch is conditional.</x:v>
      </x:c>
    </x:row>
    <x:row r="135">
      <x:c r="A135" s="12" t="str">
        <x:v>CPP-011</x:v>
      </x:c>
      <x:c r="B135" s="12" t="str">
        <x:v>C++ Unit/Component</x:v>
      </x:c>
      <x:c r="C135" s="12" t="str">
        <x:v>component</x:v>
      </x:c>
      <x:c r="D135" s="12" t="str">
        <x:v>radio retires durable ack</x:v>
      </x:c>
      <x:c r="E135" s="12" t="str"/>
      <x:c r="F135" s="12" t="str">
        <x:v>Host C++ build</x:v>
      </x:c>
      <x:c r="G135" s="12" t="str">
        <x:v>make cpp-test</x:v>
      </x:c>
      <x:c r="H135" s="12" t="str">
        <x:v>check() assertion passes</x:v>
      </x:c>
      <x:c r="I135" s="12" t="str">
        <x:v>Automated</x:v>
      </x:c>
      <x:c r="J135" s="12" t="str">
        <x:v>PASS*</x:v>
      </x:c>
      <x:c r="K135" s="12" t="str">
        <x:v>N/A</x:v>
      </x:c>
      <x:c r="L135" s="12" t="str">
        <x:v>tests/cpp/test_main.cpp</x:v>
      </x:c>
      <x:c r="M135" s="12" t="str"/>
      <x:c r="N135" s="12" t="str"/>
      <x:c r="O135" s="40" t="str">
        <x:v>*81 source checks; 80 execute in one trace profile because TRACE-on/off branch is conditional.</x:v>
      </x:c>
    </x:row>
    <x:row r="136">
      <x:c r="A136" s="12" t="str">
        <x:v>CPP-012</x:v>
      </x:c>
      <x:c r="B136" s="12" t="str">
        <x:v>C++ Unit/Component</x:v>
      </x:c>
      <x:c r="C136" s="12" t="str">
        <x:v>component</x:v>
      </x:c>
      <x:c r="D136" s="12" t="str">
        <x:v>input-less config is rejected</x:v>
      </x:c>
      <x:c r="E136" s="12" t="str"/>
      <x:c r="F136" s="12" t="str">
        <x:v>Host C++ build</x:v>
      </x:c>
      <x:c r="G136" s="12" t="str">
        <x:v>make cpp-test</x:v>
      </x:c>
      <x:c r="H136" s="12" t="str">
        <x:v>check() assertion passes</x:v>
      </x:c>
      <x:c r="I136" s="12" t="str">
        <x:v>Automated</x:v>
      </x:c>
      <x:c r="J136" s="12" t="str">
        <x:v>PASS*</x:v>
      </x:c>
      <x:c r="K136" s="12" t="str">
        <x:v>N/A</x:v>
      </x:c>
      <x:c r="L136" s="12" t="str">
        <x:v>tests/cpp/test_main.cpp</x:v>
      </x:c>
      <x:c r="M136" s="12" t="str"/>
      <x:c r="N136" s="12" t="str"/>
      <x:c r="O136" s="40" t="str">
        <x:v>*81 source checks; 80 execute in one trace profile because TRACE-on/off branch is conditional.</x:v>
      </x:c>
    </x:row>
    <x:row r="137">
      <x:c r="A137" s="12" t="str">
        <x:v>CPP-013</x:v>
      </x:c>
      <x:c r="B137" s="12" t="str">
        <x:v>C++ Unit/Component</x:v>
      </x:c>
      <x:c r="C137" s="12" t="str">
        <x:v>component</x:v>
      </x:c>
      <x:c r="D137" s="12" t="str">
        <x:v>valid node config applies</x:v>
      </x:c>
      <x:c r="E137" s="12" t="str"/>
      <x:c r="F137" s="12" t="str">
        <x:v>Host C++ build</x:v>
      </x:c>
      <x:c r="G137" s="12" t="str">
        <x:v>make cpp-test</x:v>
      </x:c>
      <x:c r="H137" s="12" t="str">
        <x:v>check() assertion passes</x:v>
      </x:c>
      <x:c r="I137" s="12" t="str">
        <x:v>Automated</x:v>
      </x:c>
      <x:c r="J137" s="12" t="str">
        <x:v>PASS*</x:v>
      </x:c>
      <x:c r="K137" s="12" t="str">
        <x:v>N/A</x:v>
      </x:c>
      <x:c r="L137" s="12" t="str">
        <x:v>tests/cpp/test_main.cpp</x:v>
      </x:c>
      <x:c r="M137" s="12" t="str"/>
      <x:c r="N137" s="12" t="str"/>
      <x:c r="O137" s="40" t="str">
        <x:v>*81 source checks; 80 execute in one trace profile because TRACE-on/off branch is conditional.</x:v>
      </x:c>
    </x:row>
    <x:row r="138">
      <x:c r="A138" s="12" t="str">
        <x:v>CPP-014</x:v>
      </x:c>
      <x:c r="B138" s="12" t="str">
        <x:v>C++ Unit/Component</x:v>
      </x:c>
      <x:c r="C138" s="12" t="str">
        <x:v>component</x:v>
      </x:c>
      <x:c r="D138" s="12" t="str">
        <x:v>stale version is rejected</x:v>
      </x:c>
      <x:c r="E138" s="12" t="str"/>
      <x:c r="F138" s="12" t="str">
        <x:v>Host C++ build</x:v>
      </x:c>
      <x:c r="G138" s="12" t="str">
        <x:v>make cpp-test</x:v>
      </x:c>
      <x:c r="H138" s="12" t="str">
        <x:v>check() assertion passes</x:v>
      </x:c>
      <x:c r="I138" s="12" t="str">
        <x:v>Automated</x:v>
      </x:c>
      <x:c r="J138" s="12" t="str">
        <x:v>PASS*</x:v>
      </x:c>
      <x:c r="K138" s="12" t="str">
        <x:v>N/A</x:v>
      </x:c>
      <x:c r="L138" s="12" t="str">
        <x:v>tests/cpp/test_main.cpp</x:v>
      </x:c>
      <x:c r="M138" s="12" t="str"/>
      <x:c r="N138" s="12" t="str"/>
      <x:c r="O138" s="40" t="str">
        <x:v>*81 source checks; 80 execute in one trace profile because TRACE-on/off branch is conditional.</x:v>
      </x:c>
    </x:row>
    <x:row r="139">
      <x:c r="A139" s="12" t="str">
        <x:v>CPP-015</x:v>
      </x:c>
      <x:c r="B139" s="12" t="str">
        <x:v>C++ Unit/Component</x:v>
      </x:c>
      <x:c r="C139" s="12" t="str">
        <x:v>component</x:v>
      </x:c>
      <x:c r="D139" s="12" t="str">
        <x:v>physical service window is bounded and open</x:v>
      </x:c>
      <x:c r="E139" s="12" t="str"/>
      <x:c r="F139" s="12" t="str">
        <x:v>Host C++ build</x:v>
      </x:c>
      <x:c r="G139" s="12" t="str">
        <x:v>make cpp-test</x:v>
      </x:c>
      <x:c r="H139" s="12" t="str">
        <x:v>check() assertion passes</x:v>
      </x:c>
      <x:c r="I139" s="12" t="str">
        <x:v>Automated</x:v>
      </x:c>
      <x:c r="J139" s="12" t="str">
        <x:v>PASS*</x:v>
      </x:c>
      <x:c r="K139" s="12" t="str">
        <x:v>N/A</x:v>
      </x:c>
      <x:c r="L139" s="12" t="str">
        <x:v>tests/cpp/test_main.cpp</x:v>
      </x:c>
      <x:c r="M139" s="12" t="str"/>
      <x:c r="N139" s="12" t="str"/>
      <x:c r="O139" s="40" t="str">
        <x:v>*81 source checks; 80 execute in one trace profile because TRACE-on/off branch is conditional.</x:v>
      </x:c>
    </x:row>
    <x:row r="140">
      <x:c r="A140" s="12" t="str">
        <x:v>CPP-016</x:v>
      </x:c>
      <x:c r="B140" s="12" t="str">
        <x:v>C++ Unit/Component</x:v>
      </x:c>
      <x:c r="C140" s="12" t="str">
        <x:v>component</x:v>
      </x:c>
      <x:c r="D140" s="12" t="str">
        <x:v>service window closes</x:v>
      </x:c>
      <x:c r="E140" s="12" t="str"/>
      <x:c r="F140" s="12" t="str">
        <x:v>Host C++ build</x:v>
      </x:c>
      <x:c r="G140" s="12" t="str">
        <x:v>make cpp-test</x:v>
      </x:c>
      <x:c r="H140" s="12" t="str">
        <x:v>check() assertion passes</x:v>
      </x:c>
      <x:c r="I140" s="12" t="str">
        <x:v>Automated</x:v>
      </x:c>
      <x:c r="J140" s="12" t="str">
        <x:v>PASS*</x:v>
      </x:c>
      <x:c r="K140" s="12" t="str">
        <x:v>N/A</x:v>
      </x:c>
      <x:c r="L140" s="12" t="str">
        <x:v>tests/cpp/test_main.cpp</x:v>
      </x:c>
      <x:c r="M140" s="12" t="str"/>
      <x:c r="N140" s="12" t="str"/>
      <x:c r="O140" s="40" t="str">
        <x:v>*81 source checks; 80 execute in one trace profile because TRACE-on/off branch is conditional.</x:v>
      </x:c>
    </x:row>
    <x:row r="141">
      <x:c r="A141" s="12" t="str">
        <x:v>CPP-017</x:v>
      </x:c>
      <x:c r="B141" s="12" t="str">
        <x:v>C++ Unit/Component</x:v>
      </x:c>
      <x:c r="C141" s="12" t="str">
        <x:v>component</x:v>
      </x:c>
      <x:c r="D141" s="12" t="str">
        <x:v>calibrated low battery classification</x:v>
      </x:c>
      <x:c r="E141" s="12" t="str"/>
      <x:c r="F141" s="12" t="str">
        <x:v>Host C++ build</x:v>
      </x:c>
      <x:c r="G141" s="12" t="str">
        <x:v>make cpp-test</x:v>
      </x:c>
      <x:c r="H141" s="12" t="str">
        <x:v>check() assertion passes</x:v>
      </x:c>
      <x:c r="I141" s="12" t="str">
        <x:v>Automated</x:v>
      </x:c>
      <x:c r="J141" s="12" t="str">
        <x:v>PASS*</x:v>
      </x:c>
      <x:c r="K141" s="12" t="str">
        <x:v>N/A</x:v>
      </x:c>
      <x:c r="L141" s="12" t="str">
        <x:v>tests/cpp/test_main.cpp</x:v>
      </x:c>
      <x:c r="M141" s="12" t="str"/>
      <x:c r="N141" s="12" t="str"/>
      <x:c r="O141" s="40" t="str">
        <x:v>*81 source checks; 80 execute in one trace profile because TRACE-on/off branch is conditional.</x:v>
      </x:c>
    </x:row>
    <x:row r="142">
      <x:c r="A142" s="12" t="str">
        <x:v>CPP-018</x:v>
      </x:c>
      <x:c r="B142" s="12" t="str">
        <x:v>C++ Unit/Component</x:v>
      </x:c>
      <x:c r="C142" s="12" t="str">
        <x:v>component</x:v>
      </x:c>
      <x:c r="D142" s="12" t="str">
        <x:v>uncalibrated voltage stays unknown</x:v>
      </x:c>
      <x:c r="E142" s="12" t="str"/>
      <x:c r="F142" s="12" t="str">
        <x:v>Host C++ build</x:v>
      </x:c>
      <x:c r="G142" s="12" t="str">
        <x:v>make cpp-test</x:v>
      </x:c>
      <x:c r="H142" s="12" t="str">
        <x:v>check() assertion passes</x:v>
      </x:c>
      <x:c r="I142" s="12" t="str">
        <x:v>Automated</x:v>
      </x:c>
      <x:c r="J142" s="12" t="str">
        <x:v>PASS*</x:v>
      </x:c>
      <x:c r="K142" s="12" t="str">
        <x:v>N/A</x:v>
      </x:c>
      <x:c r="L142" s="12" t="str">
        <x:v>tests/cpp/test_main.cpp</x:v>
      </x:c>
      <x:c r="M142" s="12" t="str"/>
      <x:c r="N142" s="12" t="str"/>
      <x:c r="O142" s="40" t="str">
        <x:v>*81 source checks; 80 execute in one trace profile because TRACE-on/off branch is conditional.</x:v>
      </x:c>
    </x:row>
    <x:row r="143">
      <x:c r="A143" s="12" t="str">
        <x:v>CPP-019</x:v>
      </x:c>
      <x:c r="B143" s="12" t="str">
        <x:v>C++ Unit/Component</x:v>
      </x:c>
      <x:c r="C143" s="12" t="str">
        <x:v>component</x:v>
      </x:c>
      <x:c r="D143" s="12" t="str">
        <x:v>pending retry shortens wake interval</x:v>
      </x:c>
      <x:c r="E143" s="12" t="str"/>
      <x:c r="F143" s="12" t="str">
        <x:v>Host C++ build</x:v>
      </x:c>
      <x:c r="G143" s="12" t="str">
        <x:v>make cpp-test</x:v>
      </x:c>
      <x:c r="H143" s="12" t="str">
        <x:v>check() assertion passes</x:v>
      </x:c>
      <x:c r="I143" s="12" t="str">
        <x:v>Automated</x:v>
      </x:c>
      <x:c r="J143" s="12" t="str">
        <x:v>PASS*</x:v>
      </x:c>
      <x:c r="K143" s="12" t="str">
        <x:v>N/A</x:v>
      </x:c>
      <x:c r="L143" s="12" t="str">
        <x:v>tests/cpp/test_main.cpp</x:v>
      </x:c>
      <x:c r="M143" s="12" t="str"/>
      <x:c r="N143" s="12" t="str"/>
      <x:c r="O143" s="40" t="str">
        <x:v>*81 source checks; 80 execute in one trace profile because TRACE-on/off branch is conditional.</x:v>
      </x:c>
    </x:row>
    <x:row r="144">
      <x:c r="A144" s="12" t="str">
        <x:v>CPP-020</x:v>
      </x:c>
      <x:c r="B144" s="12" t="str">
        <x:v>C++ Unit/Component</x:v>
      </x:c>
      <x:c r="C144" s="12" t="str">
        <x:v>component</x:v>
      </x:c>
      <x:c r="D144" s="12" t="str">
        <x:v>node runtime persists before transmit</x:v>
      </x:c>
      <x:c r="E144" s="12" t="str"/>
      <x:c r="F144" s="12" t="str">
        <x:v>Host C++ build</x:v>
      </x:c>
      <x:c r="G144" s="12" t="str">
        <x:v>make cpp-test</x:v>
      </x:c>
      <x:c r="H144" s="12" t="str">
        <x:v>check() assertion passes</x:v>
      </x:c>
      <x:c r="I144" s="12" t="str">
        <x:v>Automated</x:v>
      </x:c>
      <x:c r="J144" s="12" t="str">
        <x:v>PASS*</x:v>
      </x:c>
      <x:c r="K144" s="12" t="str">
        <x:v>N/A</x:v>
      </x:c>
      <x:c r="L144" s="12" t="str">
        <x:v>tests/cpp/test_main.cpp</x:v>
      </x:c>
      <x:c r="M144" s="12" t="str"/>
      <x:c r="N144" s="12" t="str"/>
      <x:c r="O144" s="40" t="str">
        <x:v>*81 source checks; 80 execute in one trace profile because TRACE-on/off branch is conditional.</x:v>
      </x:c>
    </x:row>
    <x:row r="145">
      <x:c r="A145" s="12" t="str">
        <x:v>CPP-021</x:v>
      </x:c>
      <x:c r="B145" s="12" t="str">
        <x:v>C++ Unit/Component</x:v>
      </x:c>
      <x:c r="C145" s="12" t="str">
        <x:v>component</x:v>
      </x:c>
      <x:c r="D145" s="12" t="str">
        <x:v>node runtime exposes due transmission</x:v>
      </x:c>
      <x:c r="E145" s="12" t="str"/>
      <x:c r="F145" s="12" t="str">
        <x:v>Host C++ build</x:v>
      </x:c>
      <x:c r="G145" s="12" t="str">
        <x:v>make cpp-test</x:v>
      </x:c>
      <x:c r="H145" s="12" t="str">
        <x:v>check() assertion passes</x:v>
      </x:c>
      <x:c r="I145" s="12" t="str">
        <x:v>Automated</x:v>
      </x:c>
      <x:c r="J145" s="12" t="str">
        <x:v>PASS*</x:v>
      </x:c>
      <x:c r="K145" s="12" t="str">
        <x:v>N/A</x:v>
      </x:c>
      <x:c r="L145" s="12" t="str">
        <x:v>tests/cpp/test_main.cpp</x:v>
      </x:c>
      <x:c r="M145" s="12" t="str"/>
      <x:c r="N145" s="12" t="str"/>
      <x:c r="O145" s="40" t="str">
        <x:v>*81 source checks; 80 execute in one trace profile because TRACE-on/off branch is conditional.</x:v>
      </x:c>
    </x:row>
    <x:row r="146">
      <x:c r="A146" s="12" t="str">
        <x:v>CPP-022</x:v>
      </x:c>
      <x:c r="B146" s="12" t="str">
        <x:v>C++ Unit/Component</x:v>
      </x:c>
      <x:c r="C146" s="12" t="str">
        <x:v>component</x:v>
      </x:c>
      <x:c r="D146" s="12" t="str">
        <x:v>node runtime retires durable ack</x:v>
      </x:c>
      <x:c r="E146" s="12" t="str"/>
      <x:c r="F146" s="12" t="str">
        <x:v>Host C++ build</x:v>
      </x:c>
      <x:c r="G146" s="12" t="str">
        <x:v>make cpp-test</x:v>
      </x:c>
      <x:c r="H146" s="12" t="str">
        <x:v>check() assertion passes</x:v>
      </x:c>
      <x:c r="I146" s="12" t="str">
        <x:v>Automated</x:v>
      </x:c>
      <x:c r="J146" s="12" t="str">
        <x:v>PASS*</x:v>
      </x:c>
      <x:c r="K146" s="12" t="str">
        <x:v>N/A</x:v>
      </x:c>
      <x:c r="L146" s="12" t="str">
        <x:v>tests/cpp/test_main.cpp</x:v>
      </x:c>
      <x:c r="M146" s="12" t="str"/>
      <x:c r="N146" s="12" t="str"/>
      <x:c r="O146" s="40" t="str">
        <x:v>*81 source checks; 80 execute in one trace profile because TRACE-on/off branch is conditional.</x:v>
      </x:c>
    </x:row>
    <x:row r="147">
      <x:c r="A147" s="12" t="str">
        <x:v>CPP-023</x:v>
      </x:c>
      <x:c r="B147" s="12" t="str">
        <x:v>C++ Unit/Component</x:v>
      </x:c>
      <x:c r="C147" s="12" t="str">
        <x:v>component</x:v>
      </x:c>
      <x:c r="D147" s="12" t="str">
        <x:v>authorized packet copied</x:v>
      </x:c>
      <x:c r="E147" s="12" t="str"/>
      <x:c r="F147" s="12" t="str">
        <x:v>Host C++ build</x:v>
      </x:c>
      <x:c r="G147" s="12" t="str">
        <x:v>make cpp-test</x:v>
      </x:c>
      <x:c r="H147" s="12" t="str">
        <x:v>check() assertion passes</x:v>
      </x:c>
      <x:c r="I147" s="12" t="str">
        <x:v>Automated</x:v>
      </x:c>
      <x:c r="J147" s="12" t="str">
        <x:v>PASS*</x:v>
      </x:c>
      <x:c r="K147" s="12" t="str">
        <x:v>N/A</x:v>
      </x:c>
      <x:c r="L147" s="12" t="str">
        <x:v>tests/cpp/test_main.cpp</x:v>
      </x:c>
      <x:c r="M147" s="12" t="str"/>
      <x:c r="N147" s="12" t="str"/>
      <x:c r="O147" s="40" t="str">
        <x:v>*81 source checks; 80 execute in one trace profile because TRACE-on/off branch is conditional.</x:v>
      </x:c>
    </x:row>
    <x:row r="148">
      <x:c r="A148" s="12" t="str">
        <x:v>CPP-024</x:v>
      </x:c>
      <x:c r="B148" s="12" t="str">
        <x:v>C++ Unit/Component</x:v>
      </x:c>
      <x:c r="C148" s="12" t="str">
        <x:v>component</x:v>
      </x:c>
      <x:c r="D148" s="12" t="str">
        <x:v>state task receives copied packet</x:v>
      </x:c>
      <x:c r="E148" s="12" t="str"/>
      <x:c r="F148" s="12" t="str">
        <x:v>Host C++ build</x:v>
      </x:c>
      <x:c r="G148" s="12" t="str">
        <x:v>make cpp-test</x:v>
      </x:c>
      <x:c r="H148" s="12" t="str">
        <x:v>check() assertion passes</x:v>
      </x:c>
      <x:c r="I148" s="12" t="str">
        <x:v>Automated</x:v>
      </x:c>
      <x:c r="J148" s="12" t="str">
        <x:v>PASS*</x:v>
      </x:c>
      <x:c r="K148" s="12" t="str">
        <x:v>N/A</x:v>
      </x:c>
      <x:c r="L148" s="12" t="str">
        <x:v>tests/cpp/test_main.cpp</x:v>
      </x:c>
      <x:c r="M148" s="12" t="str"/>
      <x:c r="N148" s="12" t="str"/>
      <x:c r="O148" s="40" t="str">
        <x:v>*81 source checks; 80 execute in one trace profile because TRACE-on/off branch is conditional.</x:v>
      </x:c>
    </x:row>
    <x:row r="149">
      <x:c r="A149" s="12" t="str">
        <x:v>CPP-025</x:v>
      </x:c>
      <x:c r="B149" s="12" t="str">
        <x:v>C++ Unit/Component</x:v>
      </x:c>
      <x:c r="C149" s="12" t="str">
        <x:v>component</x:v>
      </x:c>
      <x:c r="D149" s="12" t="str">
        <x:v>unknown peer rejected</x:v>
      </x:c>
      <x:c r="E149" s="12" t="str"/>
      <x:c r="F149" s="12" t="str">
        <x:v>Host C++ build</x:v>
      </x:c>
      <x:c r="G149" s="12" t="str">
        <x:v>make cpp-test</x:v>
      </x:c>
      <x:c r="H149" s="12" t="str">
        <x:v>check() assertion passes</x:v>
      </x:c>
      <x:c r="I149" s="12" t="str">
        <x:v>Automated</x:v>
      </x:c>
      <x:c r="J149" s="12" t="str">
        <x:v>PASS*</x:v>
      </x:c>
      <x:c r="K149" s="12" t="str">
        <x:v>N/A</x:v>
      </x:c>
      <x:c r="L149" s="12" t="str">
        <x:v>tests/cpp/test_main.cpp</x:v>
      </x:c>
      <x:c r="M149" s="12" t="str"/>
      <x:c r="N149" s="12" t="str"/>
      <x:c r="O149" s="40" t="str">
        <x:v>*81 source checks; 80 execute in one trace profile because TRACE-on/off branch is conditional.</x:v>
      </x:c>
    </x:row>
    <x:row r="150">
      <x:c r="A150" s="12" t="str">
        <x:v>CPP-026</x:v>
      </x:c>
      <x:c r="B150" s="12" t="str">
        <x:v>C++ Unit/Component</x:v>
      </x:c>
      <x:c r="C150" s="12" t="str">
        <x:v>component</x:v>
      </x:c>
      <x:c r="D150" s="12" t="str">
        <x:v>journal stores event</x:v>
      </x:c>
      <x:c r="E150" s="12" t="str"/>
      <x:c r="F150" s="12" t="str">
        <x:v>Host C++ build</x:v>
      </x:c>
      <x:c r="G150" s="12" t="str">
        <x:v>make cpp-test</x:v>
      </x:c>
      <x:c r="H150" s="12" t="str">
        <x:v>check() assertion passes</x:v>
      </x:c>
      <x:c r="I150" s="12" t="str">
        <x:v>Automated</x:v>
      </x:c>
      <x:c r="J150" s="12" t="str">
        <x:v>PASS*</x:v>
      </x:c>
      <x:c r="K150" s="12" t="str">
        <x:v>N/A</x:v>
      </x:c>
      <x:c r="L150" s="12" t="str">
        <x:v>tests/cpp/test_main.cpp</x:v>
      </x:c>
      <x:c r="M150" s="12" t="str"/>
      <x:c r="N150" s="12" t="str"/>
      <x:c r="O150" s="40" t="str">
        <x:v>*81 source checks; 80 execute in one trace profile because TRACE-on/off branch is conditional.</x:v>
      </x:c>
    </x:row>
    <x:row r="151">
      <x:c r="A151" s="12" t="str">
        <x:v>CPP-027</x:v>
      </x:c>
      <x:c r="B151" s="12" t="str">
        <x:v>C++ Unit/Component</x:v>
      </x:c>
      <x:c r="C151" s="12" t="str">
        <x:v>component</x:v>
      </x:c>
      <x:c r="D151" s="12" t="str">
        <x:v>journal deduplicates event</x:v>
      </x:c>
      <x:c r="E151" s="12" t="str"/>
      <x:c r="F151" s="12" t="str">
        <x:v>Host C++ build</x:v>
      </x:c>
      <x:c r="G151" s="12" t="str">
        <x:v>make cpp-test</x:v>
      </x:c>
      <x:c r="H151" s="12" t="str">
        <x:v>check() assertion passes</x:v>
      </x:c>
      <x:c r="I151" s="12" t="str">
        <x:v>Automated</x:v>
      </x:c>
      <x:c r="J151" s="12" t="str">
        <x:v>PASS*</x:v>
      </x:c>
      <x:c r="K151" s="12" t="str">
        <x:v>N/A</x:v>
      </x:c>
      <x:c r="L151" s="12" t="str">
        <x:v>tests/cpp/test_main.cpp</x:v>
      </x:c>
      <x:c r="M151" s="12" t="str"/>
      <x:c r="N151" s="12" t="str"/>
      <x:c r="O151" s="40" t="str">
        <x:v>*81 source checks; 80 execute in one trace profile because TRACE-on/off branch is conditional.</x:v>
      </x:c>
    </x:row>
    <x:row r="152">
      <x:c r="A152" s="12" t="str">
        <x:v>CPP-028</x:v>
      </x:c>
      <x:c r="B152" s="12" t="str">
        <x:v>C++ Unit/Component</x:v>
      </x:c>
      <x:c r="C152" s="12" t="str">
        <x:v>component</x:v>
      </x:c>
      <x:c r="D152" s="12" t="str">
        <x:v>unanchored clock blocks absence</x:v>
      </x:c>
      <x:c r="E152" s="12" t="str"/>
      <x:c r="F152" s="12" t="str">
        <x:v>Host C++ build</x:v>
      </x:c>
      <x:c r="G152" s="12" t="str">
        <x:v>make cpp-test</x:v>
      </x:c>
      <x:c r="H152" s="12" t="str">
        <x:v>check() assertion passes</x:v>
      </x:c>
      <x:c r="I152" s="12" t="str">
        <x:v>Automated</x:v>
      </x:c>
      <x:c r="J152" s="12" t="str">
        <x:v>PASS*</x:v>
      </x:c>
      <x:c r="K152" s="12" t="str">
        <x:v>N/A</x:v>
      </x:c>
      <x:c r="L152" s="12" t="str">
        <x:v>tests/cpp/test_main.cpp</x:v>
      </x:c>
      <x:c r="M152" s="12" t="str"/>
      <x:c r="N152" s="12" t="str"/>
      <x:c r="O152" s="40" t="str">
        <x:v>*81 source checks; 80 execute in one trace profile because TRACE-on/off branch is conditional.</x:v>
      </x:c>
    </x:row>
    <x:row r="153">
      <x:c r="A153" s="12" t="str">
        <x:v>CPP-029</x:v>
      </x:c>
      <x:c r="B153" s="12" t="str">
        <x:v>C++ Unit/Component</x:v>
      </x:c>
      <x:c r="C153" s="12" t="str">
        <x:v>component</x:v>
      </x:c>
      <x:c r="D153" s="12" t="str">
        <x:v>trusted bounded clock permits absence evaluation</x:v>
      </x:c>
      <x:c r="E153" s="12" t="str"/>
      <x:c r="F153" s="12" t="str">
        <x:v>Host C++ build</x:v>
      </x:c>
      <x:c r="G153" s="12" t="str">
        <x:v>make cpp-test</x:v>
      </x:c>
      <x:c r="H153" s="12" t="str">
        <x:v>check() assertion passes</x:v>
      </x:c>
      <x:c r="I153" s="12" t="str">
        <x:v>Automated</x:v>
      </x:c>
      <x:c r="J153" s="12" t="str">
        <x:v>PASS*</x:v>
      </x:c>
      <x:c r="K153" s="12" t="str">
        <x:v>N/A</x:v>
      </x:c>
      <x:c r="L153" s="12" t="str">
        <x:v>tests/cpp/test_main.cpp</x:v>
      </x:c>
      <x:c r="M153" s="12" t="str"/>
      <x:c r="N153" s="12" t="str"/>
      <x:c r="O153" s="40" t="str">
        <x:v>*81 source checks; 80 execute in one trace profile because TRACE-on/off branch is conditional.</x:v>
      </x:c>
    </x:row>
    <x:row r="154">
      <x:c r="A154" s="12" t="str">
        <x:v>CPP-030</x:v>
      </x:c>
      <x:c r="B154" s="12" t="str">
        <x:v>C++ Unit/Component</x:v>
      </x:c>
      <x:c r="C154" s="12" t="str">
        <x:v>component</x:v>
      </x:c>
      <x:c r="D154" s="12" t="str">
        <x:v>unseen node means unknown coverage</x:v>
      </x:c>
      <x:c r="E154" s="12" t="str"/>
      <x:c r="F154" s="12" t="str">
        <x:v>Host C++ build</x:v>
      </x:c>
      <x:c r="G154" s="12" t="str">
        <x:v>make cpp-test</x:v>
      </x:c>
      <x:c r="H154" s="12" t="str">
        <x:v>check() assertion passes</x:v>
      </x:c>
      <x:c r="I154" s="12" t="str">
        <x:v>Automated</x:v>
      </x:c>
      <x:c r="J154" s="12" t="str">
        <x:v>PASS*</x:v>
      </x:c>
      <x:c r="K154" s="12" t="str">
        <x:v>N/A</x:v>
      </x:c>
      <x:c r="L154" s="12" t="str">
        <x:v>tests/cpp/test_main.cpp</x:v>
      </x:c>
      <x:c r="M154" s="12" t="str"/>
      <x:c r="N154" s="12" t="str"/>
      <x:c r="O154" s="40" t="str">
        <x:v>*81 source checks; 80 execute in one trace profile because TRACE-on/off branch is conditional.</x:v>
      </x:c>
    </x:row>
    <x:row r="155">
      <x:c r="A155" s="12" t="str">
        <x:v>CPP-031</x:v>
      </x:c>
      <x:c r="B155" s="12" t="str">
        <x:v>C++ Unit/Component</x:v>
      </x:c>
      <x:c r="C155" s="12" t="str">
        <x:v>component</x:v>
      </x:c>
      <x:c r="D155" s="12" t="str">
        <x:v>fresh required node covers window</x:v>
      </x:c>
      <x:c r="E155" s="12" t="str"/>
      <x:c r="F155" s="12" t="str">
        <x:v>Host C++ build</x:v>
      </x:c>
      <x:c r="G155" s="12" t="str">
        <x:v>make cpp-test</x:v>
      </x:c>
      <x:c r="H155" s="12" t="str">
        <x:v>check() assertion passes</x:v>
      </x:c>
      <x:c r="I155" s="12" t="str">
        <x:v>Automated</x:v>
      </x:c>
      <x:c r="J155" s="12" t="str">
        <x:v>PASS*</x:v>
      </x:c>
      <x:c r="K155" s="12" t="str">
        <x:v>N/A</x:v>
      </x:c>
      <x:c r="L155" s="12" t="str">
        <x:v>tests/cpp/test_main.cpp</x:v>
      </x:c>
      <x:c r="M155" s="12" t="str"/>
      <x:c r="N155" s="12" t="str"/>
      <x:c r="O155" s="40" t="str">
        <x:v>*81 source checks; 80 execute in one trace profile because TRACE-on/off branch is conditional.</x:v>
      </x:c>
    </x:row>
    <x:row r="156">
      <x:c r="A156" s="12" t="str">
        <x:v>CPP-032</x:v>
      </x:c>
      <x:c r="B156" s="12" t="str">
        <x:v>C++ Unit/Component</x:v>
      </x:c>
      <x:c r="C156" s="12" t="str">
        <x:v>component</x:v>
      </x:c>
      <x:c r="D156" s="12" t="str">
        <x:v>expired lease becomes unknown</x:v>
      </x:c>
      <x:c r="E156" s="12" t="str"/>
      <x:c r="F156" s="12" t="str">
        <x:v>Host C++ build</x:v>
      </x:c>
      <x:c r="G156" s="12" t="str">
        <x:v>make cpp-test</x:v>
      </x:c>
      <x:c r="H156" s="12" t="str">
        <x:v>check() assertion passes</x:v>
      </x:c>
      <x:c r="I156" s="12" t="str">
        <x:v>Automated</x:v>
      </x:c>
      <x:c r="J156" s="12" t="str">
        <x:v>PASS*</x:v>
      </x:c>
      <x:c r="K156" s="12" t="str">
        <x:v>N/A</x:v>
      </x:c>
      <x:c r="L156" s="12" t="str">
        <x:v>tests/cpp/test_main.cpp</x:v>
      </x:c>
      <x:c r="M156" s="12" t="str"/>
      <x:c r="N156" s="12" t="str"/>
      <x:c r="O156" s="40" t="str">
        <x:v>*81 source checks; 80 execute in one trace profile because TRACE-on/off branch is conditional.</x:v>
      </x:c>
    </x:row>
    <x:row r="157">
      <x:c r="A157" s="12" t="str">
        <x:v>CPP-033</x:v>
      </x:c>
      <x:c r="B157" s="12" t="str">
        <x:v>C++ Unit/Component</x:v>
      </x:c>
      <x:c r="C157" s="12" t="str">
        <x:v>component</x:v>
      </x:c>
      <x:c r="D157" s="12" t="str">
        <x:v>activity suppresses missing routine incident</x:v>
      </x:c>
      <x:c r="E157" s="12" t="str"/>
      <x:c r="F157" s="12" t="str">
        <x:v>Host C++ build</x:v>
      </x:c>
      <x:c r="G157" s="12" t="str">
        <x:v>make cpp-test</x:v>
      </x:c>
      <x:c r="H157" s="12" t="str">
        <x:v>check() assertion passes</x:v>
      </x:c>
      <x:c r="I157" s="12" t="str">
        <x:v>Automated</x:v>
      </x:c>
      <x:c r="J157" s="12" t="str">
        <x:v>PASS*</x:v>
      </x:c>
      <x:c r="K157" s="12" t="str">
        <x:v>N/A</x:v>
      </x:c>
      <x:c r="L157" s="12" t="str">
        <x:v>tests/cpp/test_main.cpp</x:v>
      </x:c>
      <x:c r="M157" s="12" t="str"/>
      <x:c r="N157" s="12" t="str"/>
      <x:c r="O157" s="40" t="str">
        <x:v>*81 source checks; 80 execute in one trace profile because TRACE-on/off branch is conditional.</x:v>
      </x:c>
    </x:row>
    <x:row r="158">
      <x:c r="A158" s="12" t="str">
        <x:v>CPP-034</x:v>
      </x:c>
      <x:c r="B158" s="12" t="str">
        <x:v>C++ Unit/Component</x:v>
      </x:c>
      <x:c r="C158" s="12" t="str">
        <x:v>component</x:v>
      </x:c>
      <x:c r="D158" s="12" t="str">
        <x:v>covered window without evidence creates incident</x:v>
      </x:c>
      <x:c r="E158" s="12" t="str"/>
      <x:c r="F158" s="12" t="str">
        <x:v>Host C++ build</x:v>
      </x:c>
      <x:c r="G158" s="12" t="str">
        <x:v>make cpp-test</x:v>
      </x:c>
      <x:c r="H158" s="12" t="str">
        <x:v>check() assertion passes</x:v>
      </x:c>
      <x:c r="I158" s="12" t="str">
        <x:v>Automated</x:v>
      </x:c>
      <x:c r="J158" s="12" t="str">
        <x:v>PASS*</x:v>
      </x:c>
      <x:c r="K158" s="12" t="str">
        <x:v>N/A</x:v>
      </x:c>
      <x:c r="L158" s="12" t="str">
        <x:v>tests/cpp/test_main.cpp</x:v>
      </x:c>
      <x:c r="M158" s="12" t="str"/>
      <x:c r="N158" s="12" t="str"/>
      <x:c r="O158" s="40" t="str">
        <x:v>*81 source checks; 80 execute in one trace profile because TRACE-on/off branch is conditional.</x:v>
      </x:c>
    </x:row>
    <x:row r="159">
      <x:c r="A159" s="12" t="str">
        <x:v>CPP-035</x:v>
      </x:c>
      <x:c r="B159" s="12" t="str">
        <x:v>C++ Unit/Component</x:v>
      </x:c>
      <x:c r="C159" s="12" t="str">
        <x:v>component</x:v>
      </x:c>
      <x:c r="D159" s="12" t="str">
        <x:v>stable window creates one incident</x:v>
      </x:c>
      <x:c r="E159" s="12" t="str"/>
      <x:c r="F159" s="12" t="str">
        <x:v>Host C++ build</x:v>
      </x:c>
      <x:c r="G159" s="12" t="str">
        <x:v>make cpp-test</x:v>
      </x:c>
      <x:c r="H159" s="12" t="str">
        <x:v>check() assertion passes</x:v>
      </x:c>
      <x:c r="I159" s="12" t="str">
        <x:v>Automated</x:v>
      </x:c>
      <x:c r="J159" s="12" t="str">
        <x:v>PASS*</x:v>
      </x:c>
      <x:c r="K159" s="12" t="str">
        <x:v>N/A</x:v>
      </x:c>
      <x:c r="L159" s="12" t="str">
        <x:v>tests/cpp/test_main.cpp</x:v>
      </x:c>
      <x:c r="M159" s="12" t="str"/>
      <x:c r="N159" s="12" t="str"/>
      <x:c r="O159" s="40" t="str">
        <x:v>*81 source checks; 80 execute in one trace profile because TRACE-on/off branch is conditional.</x:v>
      </x:c>
    </x:row>
    <x:row r="160">
      <x:c r="A160" s="12" t="str">
        <x:v>CPP-036</x:v>
      </x:c>
      <x:c r="B160" s="12" t="str">
        <x:v>C++ Unit/Component</x:v>
      </x:c>
      <x:c r="C160" s="12" t="str">
        <x:v>component</x:v>
      </x:c>
      <x:c r="D160" s="12" t="str">
        <x:v>coverage unknown never becomes confident inactivity</x:v>
      </x:c>
      <x:c r="E160" s="12" t="str"/>
      <x:c r="F160" s="12" t="str">
        <x:v>Host C++ build</x:v>
      </x:c>
      <x:c r="G160" s="12" t="str">
        <x:v>make cpp-test</x:v>
      </x:c>
      <x:c r="H160" s="12" t="str">
        <x:v>check() assertion passes</x:v>
      </x:c>
      <x:c r="I160" s="12" t="str">
        <x:v>Automated</x:v>
      </x:c>
      <x:c r="J160" s="12" t="str">
        <x:v>PASS*</x:v>
      </x:c>
      <x:c r="K160" s="12" t="str">
        <x:v>N/A</x:v>
      </x:c>
      <x:c r="L160" s="12" t="str">
        <x:v>tests/cpp/test_main.cpp</x:v>
      </x:c>
      <x:c r="M160" s="12" t="str"/>
      <x:c r="N160" s="12" t="str"/>
      <x:c r="O160" s="40" t="str">
        <x:v>*81 source checks; 80 execute in one trace profile because TRACE-on/off branch is conditional.</x:v>
      </x:c>
    </x:row>
    <x:row r="161">
      <x:c r="A161" s="12" t="str">
        <x:v>CPP-037</x:v>
      </x:c>
      <x:c r="B161" s="12" t="str">
        <x:v>C++ Unit/Component</x:v>
      </x:c>
      <x:c r="C161" s="12" t="str">
        <x:v>component</x:v>
      </x:c>
      <x:c r="D161" s="12" t="str">
        <x:v>privacy suppresses passive incident</x:v>
      </x:c>
      <x:c r="E161" s="12" t="str"/>
      <x:c r="F161" s="12" t="str">
        <x:v>Host C++ build</x:v>
      </x:c>
      <x:c r="G161" s="12" t="str">
        <x:v>make cpp-test</x:v>
      </x:c>
      <x:c r="H161" s="12" t="str">
        <x:v>check() assertion passes</x:v>
      </x:c>
      <x:c r="I161" s="12" t="str">
        <x:v>Automated</x:v>
      </x:c>
      <x:c r="J161" s="12" t="str">
        <x:v>PASS*</x:v>
      </x:c>
      <x:c r="K161" s="12" t="str">
        <x:v>N/A</x:v>
      </x:c>
      <x:c r="L161" s="12" t="str">
        <x:v>tests/cpp/test_main.cpp</x:v>
      </x:c>
      <x:c r="M161" s="12" t="str"/>
      <x:c r="N161" s="12" t="str"/>
      <x:c r="O161" s="40" t="str">
        <x:v>*81 source checks; 80 execute in one trace profile because TRACE-on/off branch is conditional.</x:v>
      </x:c>
    </x:row>
    <x:row r="162">
      <x:c r="A162" s="12" t="str">
        <x:v>CPP-038</x:v>
      </x:c>
      <x:c r="B162" s="12" t="str">
        <x:v>C++ Unit/Component</x:v>
      </x:c>
      <x:c r="C162" s="12" t="str">
        <x:v>component</x:v>
      </x:c>
      <x:c r="D162" s="12" t="str">
        <x:v>call button produces explicit action</x:v>
      </x:c>
      <x:c r="E162" s="12" t="str"/>
      <x:c r="F162" s="12" t="str">
        <x:v>Host C++ build</x:v>
      </x:c>
      <x:c r="G162" s="12" t="str">
        <x:v>make cpp-test</x:v>
      </x:c>
      <x:c r="H162" s="12" t="str">
        <x:v>check() assertion passes</x:v>
      </x:c>
      <x:c r="I162" s="12" t="str">
        <x:v>Automated</x:v>
      </x:c>
      <x:c r="J162" s="12" t="str">
        <x:v>PASS*</x:v>
      </x:c>
      <x:c r="K162" s="12" t="str">
        <x:v>N/A</x:v>
      </x:c>
      <x:c r="L162" s="12" t="str">
        <x:v>tests/cpp/test_main.cpp</x:v>
      </x:c>
      <x:c r="M162" s="12" t="str"/>
      <x:c r="N162" s="12" t="str"/>
      <x:c r="O162" s="40" t="str">
        <x:v>*81 source checks; 80 execute in one trace profile because TRACE-on/off branch is conditional.</x:v>
      </x:c>
    </x:row>
    <x:row r="163">
      <x:c r="A163" s="12" t="str">
        <x:v>CPP-039</x:v>
      </x:c>
      <x:c r="B163" s="12" t="str">
        <x:v>C++ Unit/Component</x:v>
      </x:c>
      <x:c r="C163" s="12" t="str">
        <x:v>component</x:v>
      </x:c>
      <x:c r="D163" s="12" t="str">
        <x:v>offline feedback is explicit</x:v>
      </x:c>
      <x:c r="E163" s="12" t="str"/>
      <x:c r="F163" s="12" t="str">
        <x:v>Host C++ build</x:v>
      </x:c>
      <x:c r="G163" s="12" t="str">
        <x:v>make cpp-test</x:v>
      </x:c>
      <x:c r="H163" s="12" t="str">
        <x:v>check() assertion passes</x:v>
      </x:c>
      <x:c r="I163" s="12" t="str">
        <x:v>Automated</x:v>
      </x:c>
      <x:c r="J163" s="12" t="str">
        <x:v>PASS*</x:v>
      </x:c>
      <x:c r="K163" s="12" t="str">
        <x:v>N/A</x:v>
      </x:c>
      <x:c r="L163" s="12" t="str">
        <x:v>tests/cpp/test_main.cpp</x:v>
      </x:c>
      <x:c r="M163" s="12" t="str"/>
      <x:c r="N163" s="12" t="str"/>
      <x:c r="O163" s="40" t="str">
        <x:v>*81 source checks; 80 execute in one trace profile because TRACE-on/off branch is conditional.</x:v>
      </x:c>
    </x:row>
    <x:row r="164">
      <x:c r="A164" s="12" t="str">
        <x:v>CPP-040</x:v>
      </x:c>
      <x:c r="B164" s="12" t="str">
        <x:v>C++ Unit/Component</x:v>
      </x:c>
      <x:c r="C164" s="12" t="str">
        <x:v>component</x:v>
      </x:c>
      <x:c r="D164" s="12" t="str">
        <x:v>valid home config applies</x:v>
      </x:c>
      <x:c r="E164" s="12" t="str"/>
      <x:c r="F164" s="12" t="str">
        <x:v>Host C++ build</x:v>
      </x:c>
      <x:c r="G164" s="12" t="str">
        <x:v>make cpp-test</x:v>
      </x:c>
      <x:c r="H164" s="12" t="str">
        <x:v>check() assertion passes</x:v>
      </x:c>
      <x:c r="I164" s="12" t="str">
        <x:v>Automated</x:v>
      </x:c>
      <x:c r="J164" s="12" t="str">
        <x:v>PASS*</x:v>
      </x:c>
      <x:c r="K164" s="12" t="str">
        <x:v>N/A</x:v>
      </x:c>
      <x:c r="L164" s="12" t="str">
        <x:v>tests/cpp/test_main.cpp</x:v>
      </x:c>
      <x:c r="M164" s="12" t="str"/>
      <x:c r="N164" s="12" t="str"/>
      <x:c r="O164" s="40" t="str">
        <x:v>*81 source checks; 80 execute in one trace profile because TRACE-on/off branch is conditional.</x:v>
      </x:c>
    </x:row>
    <x:row r="165">
      <x:c r="A165" s="12" t="str">
        <x:v>CPP-041</x:v>
      </x:c>
      <x:c r="B165" s="12" t="str">
        <x:v>C++ Unit/Component</x:v>
      </x:c>
      <x:c r="C165" s="12" t="str">
        <x:v>component</x:v>
      </x:c>
      <x:c r="D165" s="12" t="str">
        <x:v>same config version is rejected</x:v>
      </x:c>
      <x:c r="E165" s="12" t="str"/>
      <x:c r="F165" s="12" t="str">
        <x:v>Host C++ build</x:v>
      </x:c>
      <x:c r="G165" s="12" t="str">
        <x:v>make cpp-test</x:v>
      </x:c>
      <x:c r="H165" s="12" t="str">
        <x:v>check() assertion passes</x:v>
      </x:c>
      <x:c r="I165" s="12" t="str">
        <x:v>Automated</x:v>
      </x:c>
      <x:c r="J165" s="12" t="str">
        <x:v>PASS*</x:v>
      </x:c>
      <x:c r="K165" s="12" t="str">
        <x:v>N/A</x:v>
      </x:c>
      <x:c r="L165" s="12" t="str">
        <x:v>tests/cpp/test_main.cpp</x:v>
      </x:c>
      <x:c r="M165" s="12" t="str"/>
      <x:c r="N165" s="12" t="str"/>
      <x:c r="O165" s="40" t="str">
        <x:v>*81 source checks; 80 execute in one trace profile because TRACE-on/off branch is conditional.</x:v>
      </x:c>
    </x:row>
    <x:row r="166">
      <x:c r="A166" s="12" t="str">
        <x:v>CPP-042</x:v>
      </x:c>
      <x:c r="B166" s="12" t="str">
        <x:v>C++ Unit/Component</x:v>
      </x:c>
      <x:c r="C166" s="12" t="str">
        <x:v>component</x:v>
      </x:c>
      <x:c r="D166" s="12" t="str">
        <x:v>contact requests are replayed first</x:v>
      </x:c>
      <x:c r="E166" s="12" t="str"/>
      <x:c r="F166" s="12" t="str">
        <x:v>Host C++ build</x:v>
      </x:c>
      <x:c r="G166" s="12" t="str">
        <x:v>make cpp-test</x:v>
      </x:c>
      <x:c r="H166" s="12" t="str">
        <x:v>check() assertion passes</x:v>
      </x:c>
      <x:c r="I166" s="12" t="str">
        <x:v>Automated</x:v>
      </x:c>
      <x:c r="J166" s="12" t="str">
        <x:v>PASS*</x:v>
      </x:c>
      <x:c r="K166" s="12" t="str">
        <x:v>N/A</x:v>
      </x:c>
      <x:c r="L166" s="12" t="str">
        <x:v>tests/cpp/test_main.cpp</x:v>
      </x:c>
      <x:c r="M166" s="12" t="str"/>
      <x:c r="N166" s="12" t="str"/>
      <x:c r="O166" s="40" t="str">
        <x:v>*81 source checks; 80 execute in one trace profile because TRACE-on/off branch is conditional.</x:v>
      </x:c>
    </x:row>
    <x:row r="167">
      <x:c r="A167" s="12" t="str">
        <x:v>CPP-043</x:v>
      </x:c>
      <x:c r="B167" s="12" t="str">
        <x:v>C++ Unit/Component</x:v>
      </x:c>
      <x:c r="C167" s="12" t="str">
        <x:v>component</x:v>
      </x:c>
      <x:c r="D167" s="12" t="str">
        <x:v>application commit ack retires outbox item</x:v>
      </x:c>
      <x:c r="E167" s="12" t="str"/>
      <x:c r="F167" s="12" t="str">
        <x:v>Host C++ build</x:v>
      </x:c>
      <x:c r="G167" s="12" t="str">
        <x:v>make cpp-test</x:v>
      </x:c>
      <x:c r="H167" s="12" t="str">
        <x:v>check() assertion passes</x:v>
      </x:c>
      <x:c r="I167" s="12" t="str">
        <x:v>Automated</x:v>
      </x:c>
      <x:c r="J167" s="12" t="str">
        <x:v>PASS*</x:v>
      </x:c>
      <x:c r="K167" s="12" t="str">
        <x:v>N/A</x:v>
      </x:c>
      <x:c r="L167" s="12" t="str">
        <x:v>tests/cpp/test_main.cpp</x:v>
      </x:c>
      <x:c r="M167" s="12" t="str"/>
      <x:c r="N167" s="12" t="str"/>
      <x:c r="O167" s="40" t="str">
        <x:v>*81 source checks; 80 execute in one trace profile because TRACE-on/off branch is conditional.</x:v>
      </x:c>
    </x:row>
    <x:row r="168">
      <x:c r="A168" s="12" t="str">
        <x:v>CPP-044</x:v>
      </x:c>
      <x:c r="B168" s="12" t="str">
        <x:v>C++ Unit/Component</x:v>
      </x:c>
      <x:c r="C168" s="12" t="str">
        <x:v>component</x:v>
      </x:c>
      <x:c r="D168" s="12" t="str">
        <x:v>runtime callback admits known node</x:v>
      </x:c>
      <x:c r="E168" s="12" t="str"/>
      <x:c r="F168" s="12" t="str">
        <x:v>Host C++ build</x:v>
      </x:c>
      <x:c r="G168" s="12" t="str">
        <x:v>make cpp-test</x:v>
      </x:c>
      <x:c r="H168" s="12" t="str">
        <x:v>check() assertion passes</x:v>
      </x:c>
      <x:c r="I168" s="12" t="str">
        <x:v>Automated</x:v>
      </x:c>
      <x:c r="J168" s="12" t="str">
        <x:v>PASS*</x:v>
      </x:c>
      <x:c r="K168" s="12" t="str">
        <x:v>N/A</x:v>
      </x:c>
      <x:c r="L168" s="12" t="str">
        <x:v>tests/cpp/test_main.cpp</x:v>
      </x:c>
      <x:c r="M168" s="12" t="str"/>
      <x:c r="N168" s="12" t="str"/>
      <x:c r="O168" s="40" t="str">
        <x:v>*81 source checks; 80 execute in one trace profile because TRACE-on/off branch is conditional.</x:v>
      </x:c>
    </x:row>
    <x:row r="169">
      <x:c r="A169" s="12" t="str">
        <x:v>CPP-045</x:v>
      </x:c>
      <x:c r="B169" s="12" t="str">
        <x:v>C++ Unit/Component</x:v>
      </x:c>
      <x:c r="C169" s="12" t="str">
        <x:v>component</x:v>
      </x:c>
      <x:c r="D169" s="12" t="str">
        <x:v>state owner commits before durable ack</x:v>
      </x:c>
      <x:c r="E169" s="12" t="str"/>
      <x:c r="F169" s="12" t="str">
        <x:v>Host C++ build</x:v>
      </x:c>
      <x:c r="G169" s="12" t="str">
        <x:v>make cpp-test</x:v>
      </x:c>
      <x:c r="H169" s="12" t="str">
        <x:v>check() assertion passes</x:v>
      </x:c>
      <x:c r="I169" s="12" t="str">
        <x:v>Automated</x:v>
      </x:c>
      <x:c r="J169" s="12" t="str">
        <x:v>PASS*</x:v>
      </x:c>
      <x:c r="K169" s="12" t="str">
        <x:v>N/A</x:v>
      </x:c>
      <x:c r="L169" s="12" t="str">
        <x:v>tests/cpp/test_main.cpp</x:v>
      </x:c>
      <x:c r="M169" s="12" t="str"/>
      <x:c r="N169" s="12" t="str"/>
      <x:c r="O169" s="40" t="str">
        <x:v>*81 source checks; 80 execute in one trace profile because TRACE-on/off branch is conditional.</x:v>
      </x:c>
    </x:row>
    <x:row r="170">
      <x:c r="A170" s="12" t="str">
        <x:v>CPP-046</x:v>
      </x:c>
      <x:c r="B170" s="12" t="str">
        <x:v>C++ Unit/Component</x:v>
      </x:c>
      <x:c r="C170" s="12" t="str">
        <x:v>component</x:v>
      </x:c>
      <x:c r="D170" s="12" t="str">
        <x:v>runtime routes committed event to rules</x:v>
      </x:c>
      <x:c r="E170" s="12" t="str"/>
      <x:c r="F170" s="12" t="str">
        <x:v>Host C++ build</x:v>
      </x:c>
      <x:c r="G170" s="12" t="str">
        <x:v>make cpp-test</x:v>
      </x:c>
      <x:c r="H170" s="12" t="str">
        <x:v>check() assertion passes</x:v>
      </x:c>
      <x:c r="I170" s="12" t="str">
        <x:v>Automated</x:v>
      </x:c>
      <x:c r="J170" s="12" t="str">
        <x:v>PASS*</x:v>
      </x:c>
      <x:c r="K170" s="12" t="str">
        <x:v>N/A</x:v>
      </x:c>
      <x:c r="L170" s="12" t="str">
        <x:v>tests/cpp/test_main.cpp</x:v>
      </x:c>
      <x:c r="M170" s="12" t="str"/>
      <x:c r="N170" s="12" t="str"/>
      <x:c r="O170" s="40" t="str">
        <x:v>*81 source checks; 80 execute in one trace profile because TRACE-on/off branch is conditional.</x:v>
      </x:c>
    </x:row>
    <x:row r="171">
      <x:c r="A171" s="12" t="str">
        <x:v>CPP-047</x:v>
      </x:c>
      <x:c r="B171" s="12" t="str">
        <x:v>C++ Unit/Component</x:v>
      </x:c>
      <x:c r="C171" s="12" t="str">
        <x:v>component</x:v>
      </x:c>
      <x:c r="D171" s="12" t="str">
        <x:v>node heartbeat interval is frozen at 60 seconds</x:v>
      </x:c>
      <x:c r="E171" s="12" t="str"/>
      <x:c r="F171" s="12" t="str">
        <x:v>Host C++ build</x:v>
      </x:c>
      <x:c r="G171" s="12" t="str">
        <x:v>make cpp-test</x:v>
      </x:c>
      <x:c r="H171" s="12" t="str">
        <x:v>check() assertion passes</x:v>
      </x:c>
      <x:c r="I171" s="12" t="str">
        <x:v>Automated</x:v>
      </x:c>
      <x:c r="J171" s="12" t="str">
        <x:v>PASS*</x:v>
      </x:c>
      <x:c r="K171" s="12" t="str">
        <x:v>N/A</x:v>
      </x:c>
      <x:c r="L171" s="12" t="str">
        <x:v>tests/cpp/test_main.cpp</x:v>
      </x:c>
      <x:c r="M171" s="12" t="str"/>
      <x:c r="N171" s="12" t="str"/>
      <x:c r="O171" s="40" t="str">
        <x:v>*81 source checks; 80 execute in one trace profile because TRACE-on/off branch is conditional.</x:v>
      </x:c>
    </x:row>
    <x:row r="172">
      <x:c r="A172" s="12" t="str">
        <x:v>CPP-048</x:v>
      </x:c>
      <x:c r="B172" s="12" t="str">
        <x:v>C++ Unit/Component</x:v>
      </x:c>
      <x:c r="C172" s="12" t="str">
        <x:v>component</x:v>
      </x:c>
      <x:c r="D172" s="12" t="str">
        <x:v>three missed heartbeats plus grace means offline</x:v>
      </x:c>
      <x:c r="E172" s="12" t="str"/>
      <x:c r="F172" s="12" t="str">
        <x:v>Host C++ build</x:v>
      </x:c>
      <x:c r="G172" s="12" t="str">
        <x:v>make cpp-test</x:v>
      </x:c>
      <x:c r="H172" s="12" t="str">
        <x:v>check() assertion passes</x:v>
      </x:c>
      <x:c r="I172" s="12" t="str">
        <x:v>Automated</x:v>
      </x:c>
      <x:c r="J172" s="12" t="str">
        <x:v>PASS*</x:v>
      </x:c>
      <x:c r="K172" s="12" t="str">
        <x:v>N/A</x:v>
      </x:c>
      <x:c r="L172" s="12" t="str">
        <x:v>tests/cpp/test_main.cpp</x:v>
      </x:c>
      <x:c r="M172" s="12" t="str"/>
      <x:c r="N172" s="12" t="str"/>
      <x:c r="O172" s="40" t="str">
        <x:v>*81 source checks; 80 execute in one trace profile because TRACE-on/off branch is conditional.</x:v>
      </x:c>
    </x:row>
    <x:row r="173">
      <x:c r="A173" s="12" t="str">
        <x:v>CPP-049</x:v>
      </x:c>
      <x:c r="B173" s="12" t="str">
        <x:v>C++ Unit/Component</x:v>
      </x:c>
      <x:c r="C173" s="12" t="str">
        <x:v>component</x:v>
      </x:c>
      <x:c r="D173" s="12" t="str">
        <x:v>bounded retry schedule is shared by protocol code</x:v>
      </x:c>
      <x:c r="E173" s="12" t="str"/>
      <x:c r="F173" s="12" t="str">
        <x:v>Host C++ build</x:v>
      </x:c>
      <x:c r="G173" s="12" t="str">
        <x:v>make cpp-test</x:v>
      </x:c>
      <x:c r="H173" s="12" t="str">
        <x:v>check() assertion passes</x:v>
      </x:c>
      <x:c r="I173" s="12" t="str">
        <x:v>Automated</x:v>
      </x:c>
      <x:c r="J173" s="12" t="str">
        <x:v>PASS*</x:v>
      </x:c>
      <x:c r="K173" s="12" t="str">
        <x:v>N/A</x:v>
      </x:c>
      <x:c r="L173" s="12" t="str">
        <x:v>tests/cpp/test_main.cpp</x:v>
      </x:c>
      <x:c r="M173" s="12" t="str"/>
      <x:c r="N173" s="12" t="str"/>
      <x:c r="O173" s="40" t="str">
        <x:v>*81 source checks; 80 execute in one trace profile because TRACE-on/off branch is conditional.</x:v>
      </x:c>
    </x:row>
    <x:row r="174">
      <x:c r="A174" s="12" t="str">
        <x:v>CPP-050</x:v>
      </x:c>
      <x:c r="B174" s="12" t="str">
        <x:v>C++ Unit/Component</x:v>
      </x:c>
      <x:c r="C174" s="12" t="str">
        <x:v>component</x:v>
      </x:c>
      <x:c r="D174" s="12" t="str">
        <x:v>canonical node event records before transmission</x:v>
      </x:c>
      <x:c r="E174" s="12" t="str"/>
      <x:c r="F174" s="12" t="str">
        <x:v>Host C++ build</x:v>
      </x:c>
      <x:c r="G174" s="12" t="str">
        <x:v>make cpp-test</x:v>
      </x:c>
      <x:c r="H174" s="12" t="str">
        <x:v>check() assertion passes</x:v>
      </x:c>
      <x:c r="I174" s="12" t="str">
        <x:v>Automated</x:v>
      </x:c>
      <x:c r="J174" s="12" t="str">
        <x:v>PASS*</x:v>
      </x:c>
      <x:c r="K174" s="12" t="str">
        <x:v>N/A</x:v>
      </x:c>
      <x:c r="L174" s="12" t="str">
        <x:v>tests/cpp/test_main.cpp</x:v>
      </x:c>
      <x:c r="M174" s="12" t="str"/>
      <x:c r="N174" s="12" t="str"/>
      <x:c r="O174" s="40" t="str">
        <x:v>*81 source checks; 80 execute in one trace profile because TRACE-on/off branch is conditional.</x:v>
      </x:c>
    </x:row>
    <x:row r="175">
      <x:c r="A175" s="12" t="str">
        <x:v>CPP-051</x:v>
      </x:c>
      <x:c r="B175" s="12" t="str">
        <x:v>C++ Unit/Component</x:v>
      </x:c>
      <x:c r="C175" s="12" t="str">
        <x:v>component</x:v>
      </x:c>
      <x:c r="D175" s="12" t="str">
        <x:v>node event carries sensor type and RSSI independently of GPIO</x:v>
      </x:c>
      <x:c r="E175" s="12" t="str"/>
      <x:c r="F175" s="12" t="str">
        <x:v>Host C++ build</x:v>
      </x:c>
      <x:c r="G175" s="12" t="str">
        <x:v>make cpp-test</x:v>
      </x:c>
      <x:c r="H175" s="12" t="str">
        <x:v>check() assertion passes</x:v>
      </x:c>
      <x:c r="I175" s="12" t="str">
        <x:v>Automated</x:v>
      </x:c>
      <x:c r="J175" s="12" t="str">
        <x:v>PASS*</x:v>
      </x:c>
      <x:c r="K175" s="12" t="str">
        <x:v>N/A</x:v>
      </x:c>
      <x:c r="L175" s="12" t="str">
        <x:v>tests/cpp/test_main.cpp</x:v>
      </x:c>
      <x:c r="M175" s="12" t="str"/>
      <x:c r="N175" s="12" t="str"/>
      <x:c r="O175" s="40" t="str">
        <x:v>*81 source checks; 80 execute in one trace profile because TRACE-on/off branch is conditional.</x:v>
      </x:c>
    </x:row>
    <x:row r="176">
      <x:c r="A176" s="12" t="str">
        <x:v>CPP-052</x:v>
      </x:c>
      <x:c r="B176" s="12" t="str">
        <x:v>C++ Unit/Component</x:v>
      </x:c>
      <x:c r="C176" s="12" t="str">
        <x:v>component</x:v>
      </x:c>
      <x:c r="D176" s="12" t="str">
        <x:v>typed node wire message preserves canonical protocol fields</x:v>
      </x:c>
      <x:c r="E176" s="12" t="str"/>
      <x:c r="F176" s="12" t="str">
        <x:v>Host C++ build</x:v>
      </x:c>
      <x:c r="G176" s="12" t="str">
        <x:v>make cpp-test</x:v>
      </x:c>
      <x:c r="H176" s="12" t="str">
        <x:v>check() assertion passes</x:v>
      </x:c>
      <x:c r="I176" s="12" t="str">
        <x:v>Automated</x:v>
      </x:c>
      <x:c r="J176" s="12" t="str">
        <x:v>PASS*</x:v>
      </x:c>
      <x:c r="K176" s="12" t="str">
        <x:v>N/A</x:v>
      </x:c>
      <x:c r="L176" s="12" t="str">
        <x:v>tests/cpp/test_main.cpp</x:v>
      </x:c>
      <x:c r="M176" s="12" t="str"/>
      <x:c r="N176" s="12" t="str"/>
      <x:c r="O176" s="40" t="str">
        <x:v>*81 source checks; 80 execute in one trace profile because TRACE-on/off branch is conditional.</x:v>
      </x:c>
    </x:row>
    <x:row r="177">
      <x:c r="A177" s="12" t="str">
        <x:v>CPP-053</x:v>
      </x:c>
      <x:c r="B177" s="12" t="str">
        <x:v>C++ Unit/Component</x:v>
      </x:c>
      <x:c r="C177" s="12" t="str">
        <x:v>component</x:v>
      </x:c>
      <x:c r="D177" s="12" t="str">
        <x:v>hub adapter converts canonical wire message into the same generic DomainEvent</x:v>
      </x:c>
      <x:c r="E177" s="12" t="str"/>
      <x:c r="F177" s="12" t="str">
        <x:v>Host C++ build</x:v>
      </x:c>
      <x:c r="G177" s="12" t="str">
        <x:v>make cpp-test</x:v>
      </x:c>
      <x:c r="H177" s="12" t="str">
        <x:v>check() assertion passes</x:v>
      </x:c>
      <x:c r="I177" s="12" t="str">
        <x:v>Automated</x:v>
      </x:c>
      <x:c r="J177" s="12" t="str">
        <x:v>PASS*</x:v>
      </x:c>
      <x:c r="K177" s="12" t="str">
        <x:v>N/A</x:v>
      </x:c>
      <x:c r="L177" s="12" t="str">
        <x:v>tests/cpp/test_main.cpp</x:v>
      </x:c>
      <x:c r="M177" s="12" t="str"/>
      <x:c r="N177" s="12" t="str"/>
      <x:c r="O177" s="40" t="str">
        <x:v>*81 source checks; 80 execute in one trace profile because TRACE-on/off branch is conditional.</x:v>
      </x:c>
    </x:row>
    <x:row r="178">
      <x:c r="A178" s="12" t="str">
        <x:v>CPP-054</x:v>
      </x:c>
      <x:c r="B178" s="12" t="str">
        <x:v>C++ Unit/Component</x:v>
      </x:c>
      <x:c r="C178" s="12" t="str">
        <x:v>component</x:v>
      </x:c>
      <x:c r="D178" s="12" t="str">
        <x:v>typed durable ACK preserves the node event identity</x:v>
      </x:c>
      <x:c r="E178" s="12" t="str"/>
      <x:c r="F178" s="12" t="str">
        <x:v>Host C++ build</x:v>
      </x:c>
      <x:c r="G178" s="12" t="str">
        <x:v>make cpp-test</x:v>
      </x:c>
      <x:c r="H178" s="12" t="str">
        <x:v>check() assertion passes</x:v>
      </x:c>
      <x:c r="I178" s="12" t="str">
        <x:v>Automated</x:v>
      </x:c>
      <x:c r="J178" s="12" t="str">
        <x:v>PASS*</x:v>
      </x:c>
      <x:c r="K178" s="12" t="str">
        <x:v>N/A</x:v>
      </x:c>
      <x:c r="L178" s="12" t="str">
        <x:v>tests/cpp/test_main.cpp</x:v>
      </x:c>
      <x:c r="M178" s="12" t="str"/>
      <x:c r="N178" s="12" t="str"/>
      <x:c r="O178" s="40" t="str">
        <x:v>*81 source checks; 80 execute in one trace profile because TRACE-on/off branch is conditional.</x:v>
      </x:c>
    </x:row>
    <x:row r="179">
      <x:c r="A179" s="12" t="str">
        <x:v>CPP-055</x:v>
      </x:c>
      <x:c r="B179" s="12" t="str">
        <x:v>C++ Unit/Component</x:v>
      </x:c>
      <x:c r="C179" s="12" t="str">
        <x:v>component</x:v>
      </x:c>
      <x:c r="D179" s="12" t="str">
        <x:v>door opening during quiet hours is a pure rule decision</x:v>
      </x:c>
      <x:c r="E179" s="12" t="str"/>
      <x:c r="F179" s="12" t="str">
        <x:v>Host C++ build</x:v>
      </x:c>
      <x:c r="G179" s="12" t="str">
        <x:v>make cpp-test</x:v>
      </x:c>
      <x:c r="H179" s="12" t="str">
        <x:v>check() assertion passes</x:v>
      </x:c>
      <x:c r="I179" s="12" t="str">
        <x:v>Automated</x:v>
      </x:c>
      <x:c r="J179" s="12" t="str">
        <x:v>PASS*</x:v>
      </x:c>
      <x:c r="K179" s="12" t="str">
        <x:v>N/A</x:v>
      </x:c>
      <x:c r="L179" s="12" t="str">
        <x:v>tests/cpp/test_main.cpp</x:v>
      </x:c>
      <x:c r="M179" s="12" t="str"/>
      <x:c r="N179" s="12" t="str"/>
      <x:c r="O179" s="40" t="str">
        <x:v>*81 source checks; 80 execute in one trace profile because TRACE-on/off branch is conditional.</x:v>
      </x:c>
    </x:row>
    <x:row r="180">
      <x:c r="A180" s="12" t="str">
        <x:v>CPP-056</x:v>
      </x:c>
      <x:c r="B180" s="12" t="str">
        <x:v>C++ Unit/Component</x:v>
      </x:c>
      <x:c r="C180" s="12" t="str">
        <x:v>component</x:v>
      </x:c>
      <x:c r="D180" s="12" t="str">
        <x:v>door open for five minutes creates a rule signal</x:v>
      </x:c>
      <x:c r="E180" s="12" t="str"/>
      <x:c r="F180" s="12" t="str">
        <x:v>Host C++ build</x:v>
      </x:c>
      <x:c r="G180" s="12" t="str">
        <x:v>make cpp-test</x:v>
      </x:c>
      <x:c r="H180" s="12" t="str">
        <x:v>check() assertion passes</x:v>
      </x:c>
      <x:c r="I180" s="12" t="str">
        <x:v>Automated</x:v>
      </x:c>
      <x:c r="J180" s="12" t="str">
        <x:v>PASS*</x:v>
      </x:c>
      <x:c r="K180" s="12" t="str">
        <x:v>N/A</x:v>
      </x:c>
      <x:c r="L180" s="12" t="str">
        <x:v>tests/cpp/test_main.cpp</x:v>
      </x:c>
      <x:c r="M180" s="12" t="str"/>
      <x:c r="N180" s="12" t="str"/>
      <x:c r="O180" s="40" t="str">
        <x:v>*81 source checks; 80 execute in one trace profile because TRACE-on/off branch is conditional.</x:v>
      </x:c>
    </x:row>
    <x:row r="181">
      <x:c r="A181" s="12" t="str">
        <x:v>CPP-057</x:v>
      </x:c>
      <x:c r="B181" s="12" t="str">
        <x:v>C++ Unit/Component</x:v>
      </x:c>
      <x:c r="C181" s="12" t="str">
        <x:v>component</x:v>
      </x:c>
      <x:c r="D181" s="12" t="str">
        <x:v>door-left-open signal is latched and not duplicated</x:v>
      </x:c>
      <x:c r="E181" s="12" t="str"/>
      <x:c r="F181" s="12" t="str">
        <x:v>Host C++ build</x:v>
      </x:c>
      <x:c r="G181" s="12" t="str">
        <x:v>make cpp-test</x:v>
      </x:c>
      <x:c r="H181" s="12" t="str">
        <x:v>check() assertion passes</x:v>
      </x:c>
      <x:c r="I181" s="12" t="str">
        <x:v>Automated</x:v>
      </x:c>
      <x:c r="J181" s="12" t="str">
        <x:v>PASS*</x:v>
      </x:c>
      <x:c r="K181" s="12" t="str">
        <x:v>N/A</x:v>
      </x:c>
      <x:c r="L181" s="12" t="str">
        <x:v>tests/cpp/test_main.cpp</x:v>
      </x:c>
      <x:c r="M181" s="12" t="str"/>
      <x:c r="N181" s="12" t="str"/>
      <x:c r="O181" s="40" t="str">
        <x:v>*81 source checks; 80 execute in one trace profile because TRACE-on/off branch is conditional.</x:v>
      </x:c>
    </x:row>
    <x:row r="182">
      <x:c r="A182" s="12" t="str">
        <x:v>CPP-058</x:v>
      </x:c>
      <x:c r="B182" s="12" t="str">
        <x:v>C++ Unit/Component</x:v>
      </x:c>
      <x:c r="C182" s="12" t="str">
        <x:v>component</x:v>
      </x:c>
      <x:c r="D182" s="12" t="str">
        <x:v>door close resolves prior left-open state and preserves duration</x:v>
      </x:c>
      <x:c r="E182" s="12" t="str"/>
      <x:c r="F182" s="12" t="str">
        <x:v>Host C++ build</x:v>
      </x:c>
      <x:c r="G182" s="12" t="str">
        <x:v>make cpp-test</x:v>
      </x:c>
      <x:c r="H182" s="12" t="str">
        <x:v>check() assertion passes</x:v>
      </x:c>
      <x:c r="I182" s="12" t="str">
        <x:v>Automated</x:v>
      </x:c>
      <x:c r="J182" s="12" t="str">
        <x:v>PASS*</x:v>
      </x:c>
      <x:c r="K182" s="12" t="str">
        <x:v>N/A</x:v>
      </x:c>
      <x:c r="L182" s="12" t="str">
        <x:v>tests/cpp/test_main.cpp</x:v>
      </x:c>
      <x:c r="M182" s="12" t="str"/>
      <x:c r="N182" s="12" t="str"/>
      <x:c r="O182" s="40" t="str">
        <x:v>*81 source checks; 80 execute in one trace profile because TRACE-on/off branch is conditional.</x:v>
      </x:c>
    </x:row>
    <x:row r="183">
      <x:c r="A183" s="12" t="str">
        <x:v>CPP-059</x:v>
      </x:c>
      <x:c r="B183" s="12" t="str">
        <x:v>C++ Unit/Component</x:v>
      </x:c>
      <x:c r="C183" s="12" t="str">
        <x:v>component</x:v>
      </x:c>
      <x:c r="D183" s="12" t="str">
        <x:v>daytime no-activity threshold creates a check-in rule signal</x:v>
      </x:c>
      <x:c r="E183" s="12" t="str"/>
      <x:c r="F183" s="12" t="str">
        <x:v>Host C++ build</x:v>
      </x:c>
      <x:c r="G183" s="12" t="str">
        <x:v>make cpp-test</x:v>
      </x:c>
      <x:c r="H183" s="12" t="str">
        <x:v>check() assertion passes</x:v>
      </x:c>
      <x:c r="I183" s="12" t="str">
        <x:v>Automated</x:v>
      </x:c>
      <x:c r="J183" s="12" t="str">
        <x:v>PASS*</x:v>
      </x:c>
      <x:c r="K183" s="12" t="str">
        <x:v>N/A</x:v>
      </x:c>
      <x:c r="L183" s="12" t="str">
        <x:v>tests/cpp/test_main.cpp</x:v>
      </x:c>
      <x:c r="M183" s="12" t="str"/>
      <x:c r="N183" s="12" t="str"/>
      <x:c r="O183" s="40" t="str">
        <x:v>*81 source checks; 80 execute in one trace profile because TRACE-on/off branch is conditional.</x:v>
      </x:c>
    </x:row>
    <x:row r="184">
      <x:c r="A184" s="12" t="str">
        <x:v>CPP-060</x:v>
      </x:c>
      <x:c r="B184" s="12" t="str">
        <x:v>C++ Unit/Component</x:v>
      </x:c>
      <x:c r="C184" s="12" t="str">
        <x:v>component</x:v>
      </x:c>
      <x:c r="D184" s="12" t="str">
        <x:v>daytime inactivity is not repeatedly emitted until new activity</x:v>
      </x:c>
      <x:c r="E184" s="12" t="str"/>
      <x:c r="F184" s="12" t="str">
        <x:v>Host C++ build</x:v>
      </x:c>
      <x:c r="G184" s="12" t="str">
        <x:v>make cpp-test</x:v>
      </x:c>
      <x:c r="H184" s="12" t="str">
        <x:v>check() assertion passes</x:v>
      </x:c>
      <x:c r="I184" s="12" t="str">
        <x:v>Automated</x:v>
      </x:c>
      <x:c r="J184" s="12" t="str">
        <x:v>PASS*</x:v>
      </x:c>
      <x:c r="K184" s="12" t="str">
        <x:v>N/A</x:v>
      </x:c>
      <x:c r="L184" s="12" t="str">
        <x:v>tests/cpp/test_main.cpp</x:v>
      </x:c>
      <x:c r="M184" s="12" t="str"/>
      <x:c r="N184" s="12" t="str"/>
      <x:c r="O184" s="40" t="str">
        <x:v>*81 source checks; 80 execute in one trace profile because TRACE-on/off branch is conditional.</x:v>
      </x:c>
    </x:row>
    <x:row r="185">
      <x:c r="A185" s="12" t="str">
        <x:v>CPP-061</x:v>
      </x:c>
      <x:c r="B185" s="12" t="str">
        <x:v>C++ Unit/Component</x:v>
      </x:c>
      <x:c r="C185" s="12" t="str">
        <x:v>component</x:v>
      </x:c>
      <x:c r="D185" s="12" t="str">
        <x:v>new generic activity rearms the inactivity rule</x:v>
      </x:c>
      <x:c r="E185" s="12" t="str"/>
      <x:c r="F185" s="12" t="str">
        <x:v>Host C++ build</x:v>
      </x:c>
      <x:c r="G185" s="12" t="str">
        <x:v>make cpp-test</x:v>
      </x:c>
      <x:c r="H185" s="12" t="str">
        <x:v>check() assertion passes</x:v>
      </x:c>
      <x:c r="I185" s="12" t="str">
        <x:v>Automated</x:v>
      </x:c>
      <x:c r="J185" s="12" t="str">
        <x:v>PASS*</x:v>
      </x:c>
      <x:c r="K185" s="12" t="str">
        <x:v>N/A</x:v>
      </x:c>
      <x:c r="L185" s="12" t="str">
        <x:v>tests/cpp/test_main.cpp</x:v>
      </x:c>
      <x:c r="M185" s="12" t="str"/>
      <x:c r="N185" s="12" t="str"/>
      <x:c r="O185" s="40" t="str">
        <x:v>*81 source checks; 80 execute in one trace profile because TRACE-on/off branch is conditional.</x:v>
      </x:c>
    </x:row>
    <x:row r="186">
      <x:c r="A186" s="12" t="str">
        <x:v>CPP-062</x:v>
      </x:c>
      <x:c r="B186" s="12" t="str">
        <x:v>C++ Unit/Component</x:v>
      </x:c>
      <x:c r="C186" s="12" t="str">
        <x:v>component</x:v>
      </x:c>
      <x:c r="D186" s="12" t="str">
        <x:v>no-activity timer never turns unavailable sensor coverage into an inactivity concern</x:v>
      </x:c>
      <x:c r="E186" s="12" t="str"/>
      <x:c r="F186" s="12" t="str">
        <x:v>Host C++ build</x:v>
      </x:c>
      <x:c r="G186" s="12" t="str">
        <x:v>make cpp-test</x:v>
      </x:c>
      <x:c r="H186" s="12" t="str">
        <x:v>check() assertion passes</x:v>
      </x:c>
      <x:c r="I186" s="12" t="str">
        <x:v>Automated</x:v>
      </x:c>
      <x:c r="J186" s="12" t="str">
        <x:v>PASS*</x:v>
      </x:c>
      <x:c r="K186" s="12" t="str">
        <x:v>N/A</x:v>
      </x:c>
      <x:c r="L186" s="12" t="str">
        <x:v>tests/cpp/test_main.cpp</x:v>
      </x:c>
      <x:c r="M186" s="12" t="str"/>
      <x:c r="N186" s="12" t="str"/>
      <x:c r="O186" s="40" t="str">
        <x:v>*81 source checks; 80 execute in one trace profile because TRACE-on/off branch is conditional.</x:v>
      </x:c>
    </x:row>
    <x:row r="187">
      <x:c r="A187" s="12" t="str">
        <x:v>CPP-063</x:v>
      </x:c>
      <x:c r="B187" s="12" t="str">
        <x:v>C++ Unit/Component</x:v>
      </x:c>
      <x:c r="C187" s="12" t="str">
        <x:v>component</x:v>
      </x:c>
      <x:c r="D187" s="12" t="str">
        <x:v>daytime inactivity works even when no activity event has occurred since monitoring began</x:v>
      </x:c>
      <x:c r="E187" s="12" t="str"/>
      <x:c r="F187" s="12" t="str">
        <x:v>Host C++ build</x:v>
      </x:c>
      <x:c r="G187" s="12" t="str">
        <x:v>make cpp-test</x:v>
      </x:c>
      <x:c r="H187" s="12" t="str">
        <x:v>check() assertion passes</x:v>
      </x:c>
      <x:c r="I187" s="12" t="str">
        <x:v>Automated</x:v>
      </x:c>
      <x:c r="J187" s="12" t="str">
        <x:v>PASS*</x:v>
      </x:c>
      <x:c r="K187" s="12" t="str">
        <x:v>N/A</x:v>
      </x:c>
      <x:c r="L187" s="12" t="str">
        <x:v>tests/cpp/test_main.cpp</x:v>
      </x:c>
      <x:c r="M187" s="12" t="str"/>
      <x:c r="N187" s="12" t="str"/>
      <x:c r="O187" s="40" t="str">
        <x:v>*81 source checks; 80 execute in one trace profile because TRACE-on/off branch is conditional.</x:v>
      </x:c>
    </x:row>
    <x:row r="188">
      <x:c r="A188" s="12" t="str">
        <x:v>CPP-064</x:v>
      </x:c>
      <x:c r="B188" s="12" t="str">
        <x:v>C++ Unit/Component</x:v>
      </x:c>
      <x:c r="C188" s="12" t="str">
        <x:v>component</x:v>
      </x:c>
      <x:c r="D188" s="12" t="str">
        <x:v>quiet-hour concern is suppressed while monitoring mode is away</x:v>
      </x:c>
      <x:c r="E188" s="12" t="str"/>
      <x:c r="F188" s="12" t="str">
        <x:v>Host C++ build</x:v>
      </x:c>
      <x:c r="G188" s="12" t="str">
        <x:v>make cpp-test</x:v>
      </x:c>
      <x:c r="H188" s="12" t="str">
        <x:v>check() assertion passes</x:v>
      </x:c>
      <x:c r="I188" s="12" t="str">
        <x:v>Automated</x:v>
      </x:c>
      <x:c r="J188" s="12" t="str">
        <x:v>PASS*</x:v>
      </x:c>
      <x:c r="K188" s="12" t="str">
        <x:v>N/A</x:v>
      </x:c>
      <x:c r="L188" s="12" t="str">
        <x:v>tests/cpp/test_main.cpp</x:v>
      </x:c>
      <x:c r="M188" s="12" t="str"/>
      <x:c r="N188" s="12" t="str"/>
      <x:c r="O188" s="40" t="str">
        <x:v>*81 source checks; 80 execute in one trace profile because TRACE-on/off branch is conditional.</x:v>
      </x:c>
    </x:row>
    <x:row r="189">
      <x:c r="A189" s="12" t="str">
        <x:v>CPP-065</x:v>
      </x:c>
      <x:c r="B189" s="12" t="str">
        <x:v>C++ Unit/Component</x:v>
      </x:c>
      <x:c r="C189" s="12" t="str">
        <x:v>component</x:v>
      </x:c>
      <x:c r="D189" s="12" t="str">
        <x:v>quiet-hour window includes 01:30</x:v>
      </x:c>
      <x:c r="E189" s="12" t="str"/>
      <x:c r="F189" s="12" t="str">
        <x:v>Host C++ build</x:v>
      </x:c>
      <x:c r="G189" s="12" t="str">
        <x:v>make cpp-test</x:v>
      </x:c>
      <x:c r="H189" s="12" t="str">
        <x:v>check() assertion passes</x:v>
      </x:c>
      <x:c r="I189" s="12" t="str">
        <x:v>Automated</x:v>
      </x:c>
      <x:c r="J189" s="12" t="str">
        <x:v>PASS*</x:v>
      </x:c>
      <x:c r="K189" s="12" t="str">
        <x:v>N/A</x:v>
      </x:c>
      <x:c r="L189" s="12" t="str">
        <x:v>tests/cpp/test_main.cpp</x:v>
      </x:c>
      <x:c r="M189" s="12" t="str"/>
      <x:c r="N189" s="12" t="str"/>
      <x:c r="O189" s="40" t="str">
        <x:v>*81 source checks; 80 execute in one trace profile because TRACE-on/off branch is conditional.</x:v>
      </x:c>
    </x:row>
    <x:row r="190">
      <x:c r="A190" s="12" t="str">
        <x:v>CPP-066</x:v>
      </x:c>
      <x:c r="B190" s="12" t="str">
        <x:v>C++ Unit/Component</x:v>
      </x:c>
      <x:c r="C190" s="12" t="str">
        <x:v>component</x:v>
      </x:c>
      <x:c r="D190" s="12" t="str">
        <x:v>quiet-hour window excludes daytime</x:v>
      </x:c>
      <x:c r="E190" s="12" t="str"/>
      <x:c r="F190" s="12" t="str">
        <x:v>Host C++ build</x:v>
      </x:c>
      <x:c r="G190" s="12" t="str">
        <x:v>make cpp-test</x:v>
      </x:c>
      <x:c r="H190" s="12" t="str">
        <x:v>check() assertion passes</x:v>
      </x:c>
      <x:c r="I190" s="12" t="str">
        <x:v>Automated</x:v>
      </x:c>
      <x:c r="J190" s="12" t="str">
        <x:v>PASS*</x:v>
      </x:c>
      <x:c r="K190" s="12" t="str">
        <x:v>N/A</x:v>
      </x:c>
      <x:c r="L190" s="12" t="str">
        <x:v>tests/cpp/test_main.cpp</x:v>
      </x:c>
      <x:c r="M190" s="12" t="str"/>
      <x:c r="N190" s="12" t="str"/>
      <x:c r="O190" s="40" t="str">
        <x:v>*81 source checks; 80 execute in one trace profile because TRACE-on/off branch is conditional.</x:v>
      </x:c>
    </x:row>
    <x:row r="191">
      <x:c r="A191" s="12" t="str">
        <x:v>CPP-067</x:v>
      </x:c>
      <x:c r="B191" s="12" t="str">
        <x:v>C++ Unit/Component</x:v>
      </x:c>
      <x:c r="C191" s="12" t="str">
        <x:v>component</x:v>
      </x:c>
      <x:c r="D191" s="12" t="str">
        <x:v>time windows may cross midnight</x:v>
      </x:c>
      <x:c r="E191" s="12" t="str"/>
      <x:c r="F191" s="12" t="str">
        <x:v>Host C++ build</x:v>
      </x:c>
      <x:c r="G191" s="12" t="str">
        <x:v>make cpp-test</x:v>
      </x:c>
      <x:c r="H191" s="12" t="str">
        <x:v>check() assertion passes</x:v>
      </x:c>
      <x:c r="I191" s="12" t="str">
        <x:v>Automated</x:v>
      </x:c>
      <x:c r="J191" s="12" t="str">
        <x:v>PASS*</x:v>
      </x:c>
      <x:c r="K191" s="12" t="str">
        <x:v>N/A</x:v>
      </x:c>
      <x:c r="L191" s="12" t="str">
        <x:v>tests/cpp/test_main.cpp</x:v>
      </x:c>
      <x:c r="M191" s="12" t="str"/>
      <x:c r="N191" s="12" t="str"/>
      <x:c r="O191" s="40" t="str">
        <x:v>*81 source checks; 80 execute in one trace profile because TRACE-on/off branch is conditional.</x:v>
      </x:c>
    </x:row>
    <x:row r="192">
      <x:c r="A192" s="12" t="str">
        <x:v>CPP-068</x:v>
      </x:c>
      <x:c r="B192" s="12" t="str">
        <x:v>C++ Unit/Component</x:v>
      </x:c>
      <x:c r="C192" s="12" t="str">
        <x:v>component</x:v>
      </x:c>
      <x:c r="D192" s="12" t="str">
        <x:v>hub accepts the canonical node message and converts it to a generic event</x:v>
      </x:c>
      <x:c r="E192" s="12" t="str"/>
      <x:c r="F192" s="12" t="str">
        <x:v>Host C++ build</x:v>
      </x:c>
      <x:c r="G192" s="12" t="str">
        <x:v>make cpp-test</x:v>
      </x:c>
      <x:c r="H192" s="12" t="str">
        <x:v>check() assertion passes</x:v>
      </x:c>
      <x:c r="I192" s="12" t="str">
        <x:v>Automated</x:v>
      </x:c>
      <x:c r="J192" s="12" t="str">
        <x:v>PASS*</x:v>
      </x:c>
      <x:c r="K192" s="12" t="str">
        <x:v>N/A</x:v>
      </x:c>
      <x:c r="L192" s="12" t="str">
        <x:v>tests/cpp/test_main.cpp</x:v>
      </x:c>
      <x:c r="M192" s="12" t="str"/>
      <x:c r="N192" s="12" t="str"/>
      <x:c r="O192" s="40" t="str">
        <x:v>*81 source checks; 80 execute in one trace profile because TRACE-on/off branch is conditional.</x:v>
      </x:c>
    </x:row>
    <x:row r="193">
      <x:c r="A193" s="12" t="str">
        <x:v>CPP-069</x:v>
      </x:c>
      <x:c r="B193" s="12" t="str">
        <x:v>C++ Unit/Component</x:v>
      </x:c>
      <x:c r="C193" s="12" t="str">
        <x:v>component</x:v>
      </x:c>
      <x:c r="D193" s="12" t="str">
        <x:v>hub adapter feeds generic events into the hardware-independent rule engine</x:v>
      </x:c>
      <x:c r="E193" s="12" t="str"/>
      <x:c r="F193" s="12" t="str">
        <x:v>Host C++ build</x:v>
      </x:c>
      <x:c r="G193" s="12" t="str">
        <x:v>make cpp-test</x:v>
      </x:c>
      <x:c r="H193" s="12" t="str">
        <x:v>check() assertion passes</x:v>
      </x:c>
      <x:c r="I193" s="12" t="str">
        <x:v>Automated</x:v>
      </x:c>
      <x:c r="J193" s="12" t="str">
        <x:v>PASS*</x:v>
      </x:c>
      <x:c r="K193" s="12" t="str">
        <x:v>N/A</x:v>
      </x:c>
      <x:c r="L193" s="12" t="str">
        <x:v>tests/cpp/test_main.cpp</x:v>
      </x:c>
      <x:c r="M193" s="12" t="str"/>
      <x:c r="N193" s="12" t="str"/>
      <x:c r="O193" s="40" t="str">
        <x:v>*81 source checks; 80 execute in one trace profile because TRACE-on/off branch is conditional.</x:v>
      </x:c>
    </x:row>
    <x:row r="194">
      <x:c r="A194" s="12" t="str">
        <x:v>CPP-070</x:v>
      </x:c>
      <x:c r="B194" s="12" t="str">
        <x:v>C++ Unit/Component</x:v>
      </x:c>
      <x:c r="C194" s="12" t="str">
        <x:v>component</x:v>
      </x:c>
      <x:c r="D194" s="12" t="str">
        <x:v>credential reference installs</x:v>
      </x:c>
      <x:c r="E194" s="12" t="str"/>
      <x:c r="F194" s="12" t="str">
        <x:v>Host C++ build</x:v>
      </x:c>
      <x:c r="G194" s="12" t="str">
        <x:v>make cpp-test</x:v>
      </x:c>
      <x:c r="H194" s="12" t="str">
        <x:v>check() assertion passes</x:v>
      </x:c>
      <x:c r="I194" s="12" t="str">
        <x:v>Automated</x:v>
      </x:c>
      <x:c r="J194" s="12" t="str">
        <x:v>PASS*</x:v>
      </x:c>
      <x:c r="K194" s="12" t="str">
        <x:v>N/A</x:v>
      </x:c>
      <x:c r="L194" s="12" t="str">
        <x:v>tests/cpp/test_main.cpp</x:v>
      </x:c>
      <x:c r="M194" s="12" t="str"/>
      <x:c r="N194" s="12" t="str"/>
      <x:c r="O194" s="40" t="str">
        <x:v>*81 source checks; 80 execute in one trace profile because TRACE-on/off branch is conditional.</x:v>
      </x:c>
    </x:row>
    <x:row r="195">
      <x:c r="A195" s="12" t="str">
        <x:v>CPP-071</x:v>
      </x:c>
      <x:c r="B195" s="12" t="str">
        <x:v>C++ Unit/Component</x:v>
      </x:c>
      <x:c r="C195" s="12" t="str">
        <x:v>component</x:v>
      </x:c>
      <x:c r="D195" s="12" t="str">
        <x:v>credential rollback rejected</x:v>
      </x:c>
      <x:c r="E195" s="12" t="str"/>
      <x:c r="F195" s="12" t="str">
        <x:v>Host C++ build</x:v>
      </x:c>
      <x:c r="G195" s="12" t="str">
        <x:v>make cpp-test</x:v>
      </x:c>
      <x:c r="H195" s="12" t="str">
        <x:v>check() assertion passes</x:v>
      </x:c>
      <x:c r="I195" s="12" t="str">
        <x:v>Automated</x:v>
      </x:c>
      <x:c r="J195" s="12" t="str">
        <x:v>PASS*</x:v>
      </x:c>
      <x:c r="K195" s="12" t="str">
        <x:v>N/A</x:v>
      </x:c>
      <x:c r="L195" s="12" t="str">
        <x:v>tests/cpp/test_main.cpp</x:v>
      </x:c>
      <x:c r="M195" s="12" t="str"/>
      <x:c r="N195" s="12" t="str"/>
      <x:c r="O195" s="40" t="str">
        <x:v>*81 source checks; 80 execute in one trace profile because TRACE-on/off branch is conditional.</x:v>
      </x:c>
    </x:row>
    <x:row r="196">
      <x:c r="A196" s="12" t="str">
        <x:v>CPP-072</x:v>
      </x:c>
      <x:c r="B196" s="12" t="str">
        <x:v>C++ Unit/Component</x:v>
      </x:c>
      <x:c r="C196" s="12" t="str">
        <x:v>component</x:v>
      </x:c>
      <x:c r="D196" s="12" t="str">
        <x:v>credential can be revoked</x:v>
      </x:c>
      <x:c r="E196" s="12" t="str"/>
      <x:c r="F196" s="12" t="str">
        <x:v>Host C++ build</x:v>
      </x:c>
      <x:c r="G196" s="12" t="str">
        <x:v>make cpp-test</x:v>
      </x:c>
      <x:c r="H196" s="12" t="str">
        <x:v>check() assertion passes</x:v>
      </x:c>
      <x:c r="I196" s="12" t="str">
        <x:v>Automated</x:v>
      </x:c>
      <x:c r="J196" s="12" t="str">
        <x:v>PASS*</x:v>
      </x:c>
      <x:c r="K196" s="12" t="str">
        <x:v>N/A</x:v>
      </x:c>
      <x:c r="L196" s="12" t="str">
        <x:v>tests/cpp/test_main.cpp</x:v>
      </x:c>
      <x:c r="M196" s="12" t="str"/>
      <x:c r="N196" s="12" t="str"/>
      <x:c r="O196" s="40" t="str">
        <x:v>*81 source checks; 80 execute in one trace profile because TRACE-on/off branch is conditional.</x:v>
      </x:c>
    </x:row>
    <x:row r="197">
      <x:c r="A197" s="12" t="str">
        <x:v>CPP-073</x:v>
      </x:c>
      <x:c r="B197" s="12" t="str">
        <x:v>C++ Unit/Component</x:v>
      </x:c>
      <x:c r="C197" s="12" t="str">
        <x:v>component</x:v>
      </x:c>
      <x:c r="D197" s="12" t="str">
        <x:v>valid signed manifest policy accepts</x:v>
      </x:c>
      <x:c r="E197" s="12" t="str"/>
      <x:c r="F197" s="12" t="str">
        <x:v>Host C++ build</x:v>
      </x:c>
      <x:c r="G197" s="12" t="str">
        <x:v>make cpp-test</x:v>
      </x:c>
      <x:c r="H197" s="12" t="str">
        <x:v>check() assertion passes</x:v>
      </x:c>
      <x:c r="I197" s="12" t="str">
        <x:v>Automated</x:v>
      </x:c>
      <x:c r="J197" s="12" t="str">
        <x:v>PASS*</x:v>
      </x:c>
      <x:c r="K197" s="12" t="str">
        <x:v>N/A</x:v>
      </x:c>
      <x:c r="L197" s="12" t="str">
        <x:v>tests/cpp/test_main.cpp</x:v>
      </x:c>
      <x:c r="M197" s="12" t="str"/>
      <x:c r="N197" s="12" t="str"/>
      <x:c r="O197" s="40" t="str">
        <x:v>*81 source checks; 80 execute in one trace profile because TRACE-on/off branch is conditional.</x:v>
      </x:c>
    </x:row>
    <x:row r="198">
      <x:c r="A198" s="12" t="str">
        <x:v>CPP-074</x:v>
      </x:c>
      <x:c r="B198" s="12" t="str">
        <x:v>C++ Unit/Component</x:v>
      </x:c>
      <x:c r="C198" s="12" t="str">
        <x:v>component</x:v>
      </x:c>
      <x:c r="D198" s="12" t="str">
        <x:v>wrong board manifest rejected</x:v>
      </x:c>
      <x:c r="E198" s="12" t="str"/>
      <x:c r="F198" s="12" t="str">
        <x:v>Host C++ build</x:v>
      </x:c>
      <x:c r="G198" s="12" t="str">
        <x:v>make cpp-test</x:v>
      </x:c>
      <x:c r="H198" s="12" t="str">
        <x:v>check() assertion passes</x:v>
      </x:c>
      <x:c r="I198" s="12" t="str">
        <x:v>Automated</x:v>
      </x:c>
      <x:c r="J198" s="12" t="str">
        <x:v>PASS*</x:v>
      </x:c>
      <x:c r="K198" s="12" t="str">
        <x:v>N/A</x:v>
      </x:c>
      <x:c r="L198" s="12" t="str">
        <x:v>tests/cpp/test_main.cpp</x:v>
      </x:c>
      <x:c r="M198" s="12" t="str"/>
      <x:c r="N198" s="12" t="str"/>
      <x:c r="O198" s="40" t="str">
        <x:v>*81 source checks; 80 execute in one trace profile because TRACE-on/off branch is conditional.</x:v>
      </x:c>
    </x:row>
    <x:row r="199">
      <x:c r="A199" s="12" t="str">
        <x:v>CPP-075</x:v>
      </x:c>
      <x:c r="B199" s="12" t="str">
        <x:v>C++ Unit/Component</x:v>
      </x:c>
      <x:c r="C199" s="12" t="str">
        <x:v>component</x:v>
      </x:c>
      <x:c r="D199" s="12" t="str">
        <x:v>firmware rollback rejected</x:v>
      </x:c>
      <x:c r="E199" s="12" t="str"/>
      <x:c r="F199" s="12" t="str">
        <x:v>Host C++ build</x:v>
      </x:c>
      <x:c r="G199" s="12" t="str">
        <x:v>make cpp-test</x:v>
      </x:c>
      <x:c r="H199" s="12" t="str">
        <x:v>check() assertion passes</x:v>
      </x:c>
      <x:c r="I199" s="12" t="str">
        <x:v>Automated</x:v>
      </x:c>
      <x:c r="J199" s="12" t="str">
        <x:v>PASS*</x:v>
      </x:c>
      <x:c r="K199" s="12" t="str">
        <x:v>N/A</x:v>
      </x:c>
      <x:c r="L199" s="12" t="str">
        <x:v>tests/cpp/test_main.cpp</x:v>
      </x:c>
      <x:c r="M199" s="12" t="str"/>
      <x:c r="N199" s="12" t="str"/>
      <x:c r="O199" s="40" t="str">
        <x:v>*81 source checks; 80 execute in one trace profile because TRACE-on/off branch is conditional.</x:v>
      </x:c>
    </x:row>
    <x:row r="200">
      <x:c r="A200" s="12" t="str">
        <x:v>CPP-076</x:v>
      </x:c>
      <x:c r="B200" s="12" t="str">
        <x:v>C++ Unit/Component</x:v>
      </x:c>
      <x:c r="C200" s="12" t="str">
        <x:v>component</x:v>
      </x:c>
      <x:c r="D200" s="12" t="str">
        <x:v>ERROR logging is always compiled</x:v>
      </x:c>
      <x:c r="E200" s="12" t="str"/>
      <x:c r="F200" s="12" t="str">
        <x:v>Host C++ build</x:v>
      </x:c>
      <x:c r="G200" s="12" t="str">
        <x:v>make cpp-test</x:v>
      </x:c>
      <x:c r="H200" s="12" t="str">
        <x:v>check() assertion passes</x:v>
      </x:c>
      <x:c r="I200" s="12" t="str">
        <x:v>Automated</x:v>
      </x:c>
      <x:c r="J200" s="12" t="str">
        <x:v>PASS*</x:v>
      </x:c>
      <x:c r="K200" s="12" t="str">
        <x:v>N/A</x:v>
      </x:c>
      <x:c r="L200" s="12" t="str">
        <x:v>tests/cpp/test_main.cpp</x:v>
      </x:c>
      <x:c r="M200" s="12" t="str"/>
      <x:c r="N200" s="12" t="str"/>
      <x:c r="O200" s="40" t="str">
        <x:v>*81 source checks; 80 execute in one trace profile because TRACE-on/off branch is conditional.</x:v>
      </x:c>
    </x:row>
    <x:row r="201">
      <x:c r="A201" s="12" t="str">
        <x:v>CPP-077</x:v>
      </x:c>
      <x:c r="B201" s="12" t="str">
        <x:v>C++ Unit/Component</x:v>
      </x:c>
      <x:c r="C201" s="12" t="str">
        <x:v>component</x:v>
      </x:c>
      <x:c r="D201" s="12" t="str">
        <x:v>TRACE logging is enabled in development build</x:v>
      </x:c>
      <x:c r="E201" s="12" t="str"/>
      <x:c r="F201" s="12" t="str">
        <x:v>Host C++ build</x:v>
      </x:c>
      <x:c r="G201" s="12" t="str">
        <x:v>make cpp-test</x:v>
      </x:c>
      <x:c r="H201" s="12" t="str">
        <x:v>check() assertion passes</x:v>
      </x:c>
      <x:c r="I201" s="12" t="str">
        <x:v>Automated</x:v>
      </x:c>
      <x:c r="J201" s="12" t="str">
        <x:v>PASS*</x:v>
      </x:c>
      <x:c r="K201" s="12" t="str">
        <x:v>N/A</x:v>
      </x:c>
      <x:c r="L201" s="12" t="str">
        <x:v>tests/cpp/test_main.cpp</x:v>
      </x:c>
      <x:c r="M201" s="12" t="str"/>
      <x:c r="N201" s="12" t="str"/>
      <x:c r="O201" s="40" t="str">
        <x:v>*81 source checks; 80 execute in one trace profile because TRACE-on/off branch is conditional.</x:v>
      </x:c>
    </x:row>
    <x:row r="202">
      <x:c r="A202" s="12" t="str">
        <x:v>CPP-078</x:v>
      </x:c>
      <x:c r="B202" s="12" t="str">
        <x:v>C++ Unit/Component</x:v>
      </x:c>
      <x:c r="C202" s="12" t="str">
        <x:v>component</x:v>
      </x:c>
      <x:c r="D202" s="12" t="str">
        <x:v>TRACE logging compiles out in production build</x:v>
      </x:c>
      <x:c r="E202" s="12" t="str"/>
      <x:c r="F202" s="12" t="str">
        <x:v>Host C++ build</x:v>
      </x:c>
      <x:c r="G202" s="12" t="str">
        <x:v>make cpp-test</x:v>
      </x:c>
      <x:c r="H202" s="12" t="str">
        <x:v>check() assertion passes</x:v>
      </x:c>
      <x:c r="I202" s="12" t="str">
        <x:v>Automated</x:v>
      </x:c>
      <x:c r="J202" s="12" t="str">
        <x:v>PASS*</x:v>
      </x:c>
      <x:c r="K202" s="12" t="str">
        <x:v>N/A</x:v>
      </x:c>
      <x:c r="L202" s="12" t="str">
        <x:v>tests/cpp/test_main.cpp</x:v>
      </x:c>
      <x:c r="M202" s="12" t="str"/>
      <x:c r="N202" s="12" t="str"/>
      <x:c r="O202" s="40" t="str">
        <x:v>*81 source checks; 80 execute in one trace profile because TRACE-on/off branch is conditional.</x:v>
      </x:c>
    </x:row>
    <x:row r="203">
      <x:c r="A203" s="12" t="str">
        <x:v>CPP-079</x:v>
      </x:c>
      <x:c r="B203" s="12" t="str">
        <x:v>C++ Unit/Component</x:v>
      </x:c>
      <x:c r="C203" s="12" t="str">
        <x:v>component</x:v>
      </x:c>
      <x:c r="D203" s="12" t="str">
        <x:v>morning flag maps to build</x:v>
      </x:c>
      <x:c r="E203" s="12" t="str"/>
      <x:c r="F203" s="12" t="str">
        <x:v>Host C++ build</x:v>
      </x:c>
      <x:c r="G203" s="12" t="str">
        <x:v>make cpp-test</x:v>
      </x:c>
      <x:c r="H203" s="12" t="str">
        <x:v>check() assertion passes</x:v>
      </x:c>
      <x:c r="I203" s="12" t="str">
        <x:v>Automated</x:v>
      </x:c>
      <x:c r="J203" s="12" t="str">
        <x:v>PASS*</x:v>
      </x:c>
      <x:c r="K203" s="12" t="str">
        <x:v>N/A</x:v>
      </x:c>
      <x:c r="L203" s="12" t="str">
        <x:v>tests/cpp/test_main.cpp</x:v>
      </x:c>
      <x:c r="M203" s="12" t="str"/>
      <x:c r="N203" s="12" t="str"/>
      <x:c r="O203" s="40" t="str">
        <x:v>*81 source checks; 80 execute in one trace profile because TRACE-on/off branch is conditional.</x:v>
      </x:c>
    </x:row>
    <x:row r="204">
      <x:c r="A204" s="12" t="str">
        <x:v>CPP-080</x:v>
      </x:c>
      <x:c r="B204" s="12" t="str">
        <x:v>C++ Unit/Component</x:v>
      </x:c>
      <x:c r="C204" s="12" t="str">
        <x:v>component</x:v>
      </x:c>
      <x:c r="D204" s="12" t="str">
        <x:v>P1 flag maps to build</x:v>
      </x:c>
      <x:c r="E204" s="12" t="str"/>
      <x:c r="F204" s="12" t="str">
        <x:v>Host C++ build</x:v>
      </x:c>
      <x:c r="G204" s="12" t="str">
        <x:v>make cpp-test</x:v>
      </x:c>
      <x:c r="H204" s="12" t="str">
        <x:v>check() assertion passes</x:v>
      </x:c>
      <x:c r="I204" s="12" t="str">
        <x:v>Automated</x:v>
      </x:c>
      <x:c r="J204" s="12" t="str">
        <x:v>PASS*</x:v>
      </x:c>
      <x:c r="K204" s="12" t="str">
        <x:v>N/A</x:v>
      </x:c>
      <x:c r="L204" s="12" t="str">
        <x:v>tests/cpp/test_main.cpp</x:v>
      </x:c>
      <x:c r="M204" s="12" t="str"/>
      <x:c r="N204" s="12" t="str"/>
      <x:c r="O204" s="40" t="str">
        <x:v>*81 source checks; 80 execute in one trace profile because TRACE-on/off branch is conditional.</x:v>
      </x:c>
    </x:row>
    <x:row r="205">
      <x:c r="A205" s="12" t="str">
        <x:v>CPP-081</x:v>
      </x:c>
      <x:c r="B205" s="12" t="str">
        <x:v>C++ Unit/Component</x:v>
      </x:c>
      <x:c r="C205" s="12" t="str">
        <x:v>component</x:v>
      </x:c>
      <x:c r="D205" s="12" t="str">
        <x:v>flag names are stable</x:v>
      </x:c>
      <x:c r="E205" s="12" t="str"/>
      <x:c r="F205" s="12" t="str">
        <x:v>Host C++ build</x:v>
      </x:c>
      <x:c r="G205" s="12" t="str">
        <x:v>make cpp-test</x:v>
      </x:c>
      <x:c r="H205" s="12" t="str">
        <x:v>check() assertion passes</x:v>
      </x:c>
      <x:c r="I205" s="12" t="str">
        <x:v>Automated</x:v>
      </x:c>
      <x:c r="J205" s="12" t="str">
        <x:v>PASS*</x:v>
      </x:c>
      <x:c r="K205" s="12" t="str">
        <x:v>N/A</x:v>
      </x:c>
      <x:c r="L205" s="12" t="str">
        <x:v>tests/cpp/test_main.cpp</x:v>
      </x:c>
      <x:c r="M205" s="12" t="str"/>
      <x:c r="N205" s="12" t="str"/>
      <x:c r="O205" s="40" t="str">
        <x:v>*81 source checks; 80 execute in one trace profile because TRACE-on/off branch is conditional.</x:v>
      </x:c>
    </x:row>
    <x:row r="206">
      <x:c r="A206" s="12" t="str">
        <x:v>FEAT-001</x:v>
      </x:c>
      <x:c r="B206" s="12" t="str">
        <x:v>Feature Matrix</x:v>
      </x:c>
      <x:c r="C206" s="12" t="str">
        <x:v>build variant</x:v>
      </x:c>
      <x:c r="D206" s="12" t="str">
        <x:v>P0 default features</x:v>
      </x:c>
      <x:c r="E206" s="12" t="str"/>
      <x:c r="F206" s="12" t="str">
        <x:v>Morning=1, Call=1, Offline=1</x:v>
      </x:c>
      <x:c r="G206" s="12" t="str">
        <x:v>Build simulator with feature flags</x:v>
      </x:c>
      <x:c r="H206" s="12" t="str">
        <x:v>Build and intended feature behavior pass</x:v>
      </x:c>
      <x:c r="I206" s="12" t="str">
        <x:v>Automated</x:v>
      </x:c>
      <x:c r="J206" s="12" t="str">
        <x:v>PASS</x:v>
      </x:c>
      <x:c r="K206" s="12" t="str">
        <x:v>N/A</x:v>
      </x:c>
      <x:c r="L206" s="12" t="str">
        <x:v>tools/validation/release_gate.py</x:v>
      </x:c>
      <x:c r="M206" s="12" t="str"/>
      <x:c r="N206" s="12" t="str"/>
      <x:c r="O206" s="40" t="str"/>
    </x:row>
    <x:row r="207">
      <x:c r="A207" s="12" t="str">
        <x:v>FEAT-002</x:v>
      </x:c>
      <x:c r="B207" s="12" t="str">
        <x:v>Feature Matrix</x:v>
      </x:c>
      <x:c r="C207" s="12" t="str">
        <x:v>build variant</x:v>
      </x:c>
      <x:c r="D207" s="12" t="str">
        <x:v>Morning routine disabled</x:v>
      </x:c>
      <x:c r="E207" s="12" t="str"/>
      <x:c r="F207" s="12" t="str">
        <x:v>Morning=0</x:v>
      </x:c>
      <x:c r="G207" s="12" t="str">
        <x:v>Build simulator with feature flags</x:v>
      </x:c>
      <x:c r="H207" s="12" t="str">
        <x:v>Build and intended feature behavior pass</x:v>
      </x:c>
      <x:c r="I207" s="12" t="str">
        <x:v>Automated</x:v>
      </x:c>
      <x:c r="J207" s="12" t="str">
        <x:v>PASS</x:v>
      </x:c>
      <x:c r="K207" s="12" t="str">
        <x:v>N/A</x:v>
      </x:c>
      <x:c r="L207" s="12" t="str">
        <x:v>tools/validation/release_gate.py</x:v>
      </x:c>
      <x:c r="M207" s="12" t="str"/>
      <x:c r="N207" s="12" t="str"/>
      <x:c r="O207" s="40" t="str"/>
    </x:row>
    <x:row r="208">
      <x:c r="A208" s="12" t="str">
        <x:v>FEAT-003</x:v>
      </x:c>
      <x:c r="B208" s="12" t="str">
        <x:v>Feature Matrix</x:v>
      </x:c>
      <x:c r="C208" s="12" t="str">
        <x:v>build variant</x:v>
      </x:c>
      <x:c r="D208" s="12" t="str">
        <x:v>Call Family disabled</x:v>
      </x:c>
      <x:c r="E208" s="12" t="str"/>
      <x:c r="F208" s="12" t="str">
        <x:v>Call=0</x:v>
      </x:c>
      <x:c r="G208" s="12" t="str">
        <x:v>Build simulator with feature flags</x:v>
      </x:c>
      <x:c r="H208" s="12" t="str">
        <x:v>Build and intended feature behavior pass</x:v>
      </x:c>
      <x:c r="I208" s="12" t="str">
        <x:v>Automated</x:v>
      </x:c>
      <x:c r="J208" s="12" t="str">
        <x:v>PASS</x:v>
      </x:c>
      <x:c r="K208" s="12" t="str">
        <x:v>N/A</x:v>
      </x:c>
      <x:c r="L208" s="12" t="str">
        <x:v>tools/validation/release_gate.py</x:v>
      </x:c>
      <x:c r="M208" s="12" t="str"/>
      <x:c r="N208" s="12" t="str"/>
      <x:c r="O208" s="40" t="str"/>
    </x:row>
    <x:row r="209">
      <x:c r="A209" s="12" t="str">
        <x:v>FEAT-004</x:v>
      </x:c>
      <x:c r="B209" s="12" t="str">
        <x:v>Feature Matrix</x:v>
      </x:c>
      <x:c r="C209" s="12" t="str">
        <x:v>build variant</x:v>
      </x:c>
      <x:c r="D209" s="12" t="str">
        <x:v>Local offline disabled</x:v>
      </x:c>
      <x:c r="E209" s="12" t="str"/>
      <x:c r="F209" s="12" t="str">
        <x:v>Offline=0</x:v>
      </x:c>
      <x:c r="G209" s="12" t="str">
        <x:v>Build simulator with feature flags</x:v>
      </x:c>
      <x:c r="H209" s="12" t="str">
        <x:v>Build and intended feature behavior pass</x:v>
      </x:c>
      <x:c r="I209" s="12" t="str">
        <x:v>Automated</x:v>
      </x:c>
      <x:c r="J209" s="12" t="str">
        <x:v>PASS</x:v>
      </x:c>
      <x:c r="K209" s="12" t="str">
        <x:v>N/A</x:v>
      </x:c>
      <x:c r="L209" s="12" t="str">
        <x:v>tools/validation/release_gate.py</x:v>
      </x:c>
      <x:c r="M209" s="12" t="str"/>
      <x:c r="N209" s="12" t="str"/>
      <x:c r="O209" s="40" t="str"/>
    </x:row>
    <x:row r="210">
      <x:c r="A210" s="12" t="str">
        <x:v>PROD-001</x:v>
      </x:c>
      <x:c r="B210" s="12" t="str">
        <x:v>Product Profile</x:v>
      </x:c>
      <x:c r="C210" s="12" t="str">
        <x:v>build</x:v>
      </x:c>
      <x:c r="D210" s="12" t="str">
        <x:v>Base product profile</x:v>
      </x:c>
      <x:c r="E210" s="12" t="str"/>
      <x:c r="F210" s="12" t="str">
        <x:v>PRODUCT=base</x:v>
      </x:c>
      <x:c r="G210" s="12" t="str">
        <x:v>make product-test PRODUCT=base</x:v>
      </x:c>
      <x:c r="H210" s="12" t="str">
        <x:v>Profile tests pass</x:v>
      </x:c>
      <x:c r="I210" s="12" t="str">
        <x:v>Automated</x:v>
      </x:c>
      <x:c r="J210" s="12" t="str">
        <x:v>PASS</x:v>
      </x:c>
      <x:c r="K210" s="12" t="str">
        <x:v>N/A</x:v>
      </x:c>
      <x:c r="L210" s="12" t="str">
        <x:v>tests/cpp/test_product.cpp</x:v>
      </x:c>
      <x:c r="M210" s="12" t="str"/>
      <x:c r="N210" s="12" t="str"/>
      <x:c r="O210" s="40" t="str"/>
    </x:row>
    <x:row r="211">
      <x:c r="A211" s="12" t="str">
        <x:v>PROD-002</x:v>
      </x:c>
      <x:c r="B211" s="12" t="str">
        <x:v>Product Profile</x:v>
      </x:c>
      <x:c r="C211" s="12" t="str">
        <x:v>build</x:v>
      </x:c>
      <x:c r="D211" s="12" t="str">
        <x:v>AI product profile compatibility</x:v>
      </x:c>
      <x:c r="E211" s="12" t="str"/>
      <x:c r="F211" s="12" t="str">
        <x:v>PRODUCT=ai</x:v>
      </x:c>
      <x:c r="G211" s="12" t="str">
        <x:v>make product-test PRODUCT=ai</x:v>
      </x:c>
      <x:c r="H211" s="12" t="str">
        <x:v>Profile tests pass</x:v>
      </x:c>
      <x:c r="I211" s="12" t="str">
        <x:v>Automated</x:v>
      </x:c>
      <x:c r="J211" s="12" t="str">
        <x:v>PASS</x:v>
      </x:c>
      <x:c r="K211" s="12" t="str">
        <x:v>N/A</x:v>
      </x:c>
      <x:c r="L211" s="12" t="str">
        <x:v>tests/cpp/test_product.cpp</x:v>
      </x:c>
      <x:c r="M211" s="12" t="str"/>
      <x:c r="N211" s="12" t="str"/>
      <x:c r="O211" s="40" t="str"/>
    </x:row>
    <x:row r="212">
      <x:c r="A212" s="12" t="str">
        <x:v>UI-001</x:v>
      </x:c>
      <x:c r="B212" s="12" t="str">
        <x:v>Manual Browser/PWA</x:v>
      </x:c>
      <x:c r="C212" s="12" t="str">
        <x:v>visual/usability</x:v>
      </x:c>
      <x:c r="D212" s="12" t="str">
        <x:v>I am OK is visually positive/green and includes elapsed time</x:v>
      </x:c>
      <x:c r="E212" s="12" t="str"/>
      <x:c r="F212" s="12" t="str">
        <x:v>Run local lab in target browser</x:v>
      </x:c>
      <x:c r="G212" s="12" t="str">
        <x:v>Follow Manual UI Checks sheet</x:v>
      </x:c>
      <x:c r="H212" s="12" t="str">
        <x:v>Visual/usability criterion satisfied</x:v>
      </x:c>
      <x:c r="I212" s="12" t="str">
        <x:v>Manual</x:v>
      </x:c>
      <x:c r="J212" s="12" t="str">
        <x:v>MANUAL_REQUIRED</x:v>
      </x:c>
      <x:c r="K212" s="12" t="str">
        <x:v>Not Run</x:v>
      </x:c>
      <x:c r="L212" s="12" t="str">
        <x:v>tests/MANUAL_FUNCTIONAL_VALIDATION.md</x:v>
      </x:c>
      <x:c r="M212" s="12" t="str"/>
      <x:c r="N212" s="12" t="str"/>
      <x:c r="O212" s="40" t="str"/>
    </x:row>
    <x:row r="213">
      <x:c r="A213" s="12" t="str">
        <x:v>UI-002</x:v>
      </x:c>
      <x:c r="B213" s="12" t="str">
        <x:v>Manual Browser/PWA</x:v>
      </x:c>
      <x:c r="C213" s="12" t="str">
        <x:v>visual/usability</x:v>
      </x:c>
      <x:c r="D213" s="12" t="str">
        <x:v>Unexpected/concern events are visually distinct and are not communicated by color alone</x:v>
      </x:c>
      <x:c r="E213" s="12" t="str"/>
      <x:c r="F213" s="12" t="str">
        <x:v>Run local lab in target browser</x:v>
      </x:c>
      <x:c r="G213" s="12" t="str">
        <x:v>Follow Manual UI Checks sheet</x:v>
      </x:c>
      <x:c r="H213" s="12" t="str">
        <x:v>Visual/usability criterion satisfied</x:v>
      </x:c>
      <x:c r="I213" s="12" t="str">
        <x:v>Manual</x:v>
      </x:c>
      <x:c r="J213" s="12" t="str">
        <x:v>MANUAL_REQUIRED</x:v>
      </x:c>
      <x:c r="K213" s="12" t="str">
        <x:v>Not Run</x:v>
      </x:c>
      <x:c r="L213" s="12" t="str">
        <x:v>tests/MANUAL_FUNCTIONAL_VALIDATION.md</x:v>
      </x:c>
      <x:c r="M213" s="12" t="str"/>
      <x:c r="N213" s="12" t="str"/>
      <x:c r="O213" s="40" t="str"/>
    </x:row>
    <x:row r="214">
      <x:c r="A214" s="12" t="str">
        <x:v>UI-003</x:v>
      </x:c>
      <x:c r="B214" s="12" t="str">
        <x:v>Manual Browser/PWA</x:v>
      </x:c>
      <x:c r="C214" s="12" t="str">
        <x:v>visual/usability</x:v>
      </x:c>
      <x:c r="D214" s="12" t="str">
        <x:v>Active/degraded/offline device states have text labels as well as colored status circles</x:v>
      </x:c>
      <x:c r="E214" s="12" t="str"/>
      <x:c r="F214" s="12" t="str">
        <x:v>Run local lab in target browser</x:v>
      </x:c>
      <x:c r="G214" s="12" t="str">
        <x:v>Follow Manual UI Checks sheet</x:v>
      </x:c>
      <x:c r="H214" s="12" t="str">
        <x:v>Visual/usability criterion satisfied</x:v>
      </x:c>
      <x:c r="I214" s="12" t="str">
        <x:v>Manual</x:v>
      </x:c>
      <x:c r="J214" s="12" t="str">
        <x:v>MANUAL_REQUIRED</x:v>
      </x:c>
      <x:c r="K214" s="12" t="str">
        <x:v>Not Run</x:v>
      </x:c>
      <x:c r="L214" s="12" t="str">
        <x:v>tests/MANUAL_FUNCTIONAL_VALIDATION.md</x:v>
      </x:c>
      <x:c r="M214" s="12" t="str"/>
      <x:c r="N214" s="12" t="str"/>
      <x:c r="O214" s="40" t="str"/>
    </x:row>
    <x:row r="215">
      <x:c r="A215" s="12" t="str">
        <x:v>UI-004</x:v>
      </x:c>
      <x:c r="B215" s="12" t="str">
        <x:v>Manual Browser/PWA</x:v>
      </x:c>
      <x:c r="C215" s="12" t="str">
        <x:v>visual/usability</x:v>
      </x:c>
      <x:c r="D215" s="12" t="str">
        <x:v>390 px mobile viewport has no horizontal overflow and primary controls remain usable</x:v>
      </x:c>
      <x:c r="E215" s="12" t="str"/>
      <x:c r="F215" s="12" t="str">
        <x:v>Run local lab in target browser</x:v>
      </x:c>
      <x:c r="G215" s="12" t="str">
        <x:v>Follow Manual UI Checks sheet</x:v>
      </x:c>
      <x:c r="H215" s="12" t="str">
        <x:v>Visual/usability criterion satisfied</x:v>
      </x:c>
      <x:c r="I215" s="12" t="str">
        <x:v>Manual</x:v>
      </x:c>
      <x:c r="J215" s="12" t="str">
        <x:v>MANUAL_REQUIRED</x:v>
      </x:c>
      <x:c r="K215" s="12" t="str">
        <x:v>Not Run</x:v>
      </x:c>
      <x:c r="L215" s="12" t="str">
        <x:v>tests/MANUAL_FUNCTIONAL_VALIDATION.md</x:v>
      </x:c>
      <x:c r="M215" s="12" t="str"/>
      <x:c r="N215" s="12" t="str"/>
      <x:c r="O215" s="40" t="str"/>
    </x:row>
    <x:row r="216">
      <x:c r="A216" s="12" t="str">
        <x:v>UI-005</x:v>
      </x:c>
      <x:c r="B216" s="12" t="str">
        <x:v>Manual Browser/PWA</x:v>
      </x:c>
      <x:c r="C216" s="12" t="str">
        <x:v>visual/usability</x:v>
      </x:c>
      <x:c r="D216" s="12" t="str">
        <x:v>Family/caregiver timeline is newest-first and unresolved missing-morning/call incidents remain visible</x:v>
      </x:c>
      <x:c r="E216" s="12" t="str"/>
      <x:c r="F216" s="12" t="str">
        <x:v>Run local lab in target browser</x:v>
      </x:c>
      <x:c r="G216" s="12" t="str">
        <x:v>Follow Manual UI Checks sheet</x:v>
      </x:c>
      <x:c r="H216" s="12" t="str">
        <x:v>Visual/usability criterion satisfied</x:v>
      </x:c>
      <x:c r="I216" s="12" t="str">
        <x:v>Manual</x:v>
      </x:c>
      <x:c r="J216" s="12" t="str">
        <x:v>MANUAL_REQUIRED</x:v>
      </x:c>
      <x:c r="K216" s="12" t="str">
        <x:v>Not Run</x:v>
      </x:c>
      <x:c r="L216" s="12" t="str">
        <x:v>tests/MANUAL_FUNCTIONAL_VALIDATION.md</x:v>
      </x:c>
      <x:c r="M216" s="12" t="str"/>
      <x:c r="N216" s="12" t="str"/>
      <x:c r="O216" s="40" t="str"/>
    </x:row>
    <x:row r="217">
      <x:c r="A217" s="12" t="str">
        <x:v>UI-006</x:v>
      </x:c>
      <x:c r="B217" s="12" t="str">
        <x:v>Manual Browser/PWA</x:v>
      </x:c>
      <x:c r="C217" s="12" t="str">
        <x:v>visual/usability</x:v>
      </x:c>
      <x:c r="D217" s="12" t="str">
        <x:v>Settings values reload after Save and display the new configuration version</x:v>
      </x:c>
      <x:c r="E217" s="12" t="str"/>
      <x:c r="F217" s="12" t="str">
        <x:v>Run local lab in target browser</x:v>
      </x:c>
      <x:c r="G217" s="12" t="str">
        <x:v>Follow Manual UI Checks sheet</x:v>
      </x:c>
      <x:c r="H217" s="12" t="str">
        <x:v>Visual/usability criterion satisfied</x:v>
      </x:c>
      <x:c r="I217" s="12" t="str">
        <x:v>Manual</x:v>
      </x:c>
      <x:c r="J217" s="12" t="str">
        <x:v>MANUAL_REQUIRED</x:v>
      </x:c>
      <x:c r="K217" s="12" t="str">
        <x:v>Not Run</x:v>
      </x:c>
      <x:c r="L217" s="12" t="str">
        <x:v>tests/MANUAL_FUNCTIONAL_VALIDATION.md</x:v>
      </x:c>
      <x:c r="M217" s="12" t="str"/>
      <x:c r="N217" s="12" t="str"/>
      <x:c r="O217" s="40" t="str"/>
    </x:row>
    <x:row r="218">
      <x:c r="A218" s="12" t="str">
        <x:v>UI-007</x:v>
      </x:c>
      <x:c r="B218" s="12" t="str">
        <x:v>Manual Browser/PWA</x:v>
      </x:c>
      <x:c r="C218" s="12" t="str">
        <x:v>visual/usability</x:v>
      </x:c>
      <x:c r="D218" s="12" t="str">
        <x:v>No Privacy ON/OFF control is present in normal household Settings</x:v>
      </x:c>
      <x:c r="E218" s="12" t="str"/>
      <x:c r="F218" s="12" t="str">
        <x:v>Run local lab in target browser</x:v>
      </x:c>
      <x:c r="G218" s="12" t="str">
        <x:v>Follow Manual UI Checks sheet</x:v>
      </x:c>
      <x:c r="H218" s="12" t="str">
        <x:v>Visual/usability criterion satisfied</x:v>
      </x:c>
      <x:c r="I218" s="12" t="str">
        <x:v>Manual</x:v>
      </x:c>
      <x:c r="J218" s="12" t="str">
        <x:v>MANUAL_REQUIRED</x:v>
      </x:c>
      <x:c r="K218" s="12" t="str">
        <x:v>Not Run</x:v>
      </x:c>
      <x:c r="L218" s="12" t="str">
        <x:v>tests/MANUAL_FUNCTIONAL_VALIDATION.md</x:v>
      </x:c>
      <x:c r="M218" s="12" t="str"/>
      <x:c r="N218" s="12" t="str"/>
      <x:c r="O218" s="40" t="str"/>
    </x:row>
    <x:row r="219">
      <x:c r="A219" s="12" t="str">
        <x:v>HIL-001</x:v>
      </x:c>
      <x:c r="B219" s="12" t="str">
        <x:v>Hardware/HIL</x:v>
      </x:c>
      <x:c r="C219" s="12" t="str">
        <x:v>pending</x:v>
      </x:c>
      <x:c r="D219" s="12" t="str">
        <x:v>Real PIR/reed/buttons</x:v>
      </x:c>
      <x:c r="E219" s="12" t="str"/>
      <x:c r="F219" s="12" t="str">
        <x:v>Physical/integration environment required</x:v>
      </x:c>
      <x:c r="G219" s="12" t="str">
        <x:v>Debounce, stuck input, electrical noise, mounting, field wiring, button response latency</x:v>
      </x:c>
      <x:c r="H219" s="12" t="str">
        <x:v>Mandatory before unattended pilot</x:v>
      </x:c>
      <x:c r="I219" s="12" t="str">
        <x:v>Manual/HIL</x:v>
      </x:c>
      <x:c r="J219" s="12" t="str">
        <x:v>PENDING</x:v>
      </x:c>
      <x:c r="K219" s="12" t="str">
        <x:v>Not Run</x:v>
      </x:c>
      <x:c r="L219" s="12" t="str">
        <x:v>Untested &amp; HIL sheet</x:v>
      </x:c>
      <x:c r="M219" s="12" t="str"/>
      <x:c r="N219" s="12" t="str"/>
      <x:c r="O219" s="40" t="str"/>
    </x:row>
    <x:row r="220">
      <x:c r="A220" s="12" t="str">
        <x:v>HIL-002</x:v>
      </x:c>
      <x:c r="B220" s="12" t="str">
        <x:v>Hardware/HIL</x:v>
      </x:c>
      <x:c r="C220" s="12" t="str">
        <x:v>pending</x:v>
      </x:c>
      <x:c r="D220" s="12" t="str">
        <x:v>ESP-NOW RF/RSSI/offline timing</x:v>
      </x:c>
      <x:c r="E220" s="12" t="str"/>
      <x:c r="F220" s="12" t="str">
        <x:v>Physical/integration environment required</x:v>
      </x:c>
      <x:c r="G220" s="12" t="str">
        <x:v>Real packet loss, channel coexistence/interference/range, RSSI distribution, missed heartbeats and reconnect</x:v>
      </x:c>
      <x:c r="H220" s="12" t="str">
        <x:v>Mandatory before unattended pilot</x:v>
      </x:c>
      <x:c r="I220" s="12" t="str">
        <x:v>Manual/HIL</x:v>
      </x:c>
      <x:c r="J220" s="12" t="str">
        <x:v>PENDING</x:v>
      </x:c>
      <x:c r="K220" s="12" t="str">
        <x:v>Not Run</x:v>
      </x:c>
      <x:c r="L220" s="12" t="str">
        <x:v>Untested &amp; HIL sheet</x:v>
      </x:c>
      <x:c r="M220" s="12" t="str"/>
      <x:c r="N220" s="12" t="str"/>
      <x:c r="O220" s="40" t="str"/>
    </x:row>
    <x:row r="221">
      <x:c r="A221" s="12" t="str">
        <x:v>HIL-003</x:v>
      </x:c>
      <x:c r="B221" s="12" t="str">
        <x:v>Hardware/HIL</x:v>
      </x:c>
      <x:c r="C221" s="12" t="str">
        <x:v>pending</x:v>
      </x:c>
      <x:c r="D221" s="12" t="str">
        <x:v>Battery/runtime/charging/UPS</x:v>
      </x:c>
      <x:c r="E221" s="12" t="str"/>
      <x:c r="F221" s="12" t="str">
        <x:v>Physical/integration environment required</x:v>
      </x:c>
      <x:c r="G221" s="12" t="str">
        <x:v>ADC calibration, runtime, charge behavior, brown-out under load, UPS handover, low-battery thresholds</x:v>
      </x:c>
      <x:c r="H221" s="12" t="str">
        <x:v>Mandatory before unattended pilot</x:v>
      </x:c>
      <x:c r="I221" s="12" t="str">
        <x:v>Manual/HIL</x:v>
      </x:c>
      <x:c r="J221" s="12" t="str">
        <x:v>PENDING</x:v>
      </x:c>
      <x:c r="K221" s="12" t="str">
        <x:v>Not Run</x:v>
      </x:c>
      <x:c r="L221" s="12" t="str">
        <x:v>Untested &amp; HIL sheet</x:v>
      </x:c>
      <x:c r="M221" s="12" t="str"/>
      <x:c r="N221" s="12" t="str"/>
      <x:c r="O221" s="40" t="str"/>
    </x:row>
    <x:row r="222">
      <x:c r="A222" s="12" t="str">
        <x:v>HIL-004</x:v>
      </x:c>
      <x:c r="B222" s="12" t="str">
        <x:v>Hardware/HIL</x:v>
      </x:c>
      <x:c r="C222" s="12" t="str">
        <x:v>pending</x:v>
      </x:c>
      <x:c r="D222" s="12" t="str">
        <x:v>Brown-out/reset/watchdog</x:v>
      </x:c>
      <x:c r="E222" s="12" t="str"/>
      <x:c r="F222" s="12" t="str">
        <x:v>Physical/integration environment required</x:v>
      </x:c>
      <x:c r="G222" s="12" t="str">
        <x:v>Actual reset reasons, reboot recovery, watchdog behavior and persistent state on target boards</x:v>
      </x:c>
      <x:c r="H222" s="12" t="str">
        <x:v>Mandatory before unattended pilot</x:v>
      </x:c>
      <x:c r="I222" s="12" t="str">
        <x:v>Manual/HIL</x:v>
      </x:c>
      <x:c r="J222" s="12" t="str">
        <x:v>PENDING</x:v>
      </x:c>
      <x:c r="K222" s="12" t="str">
        <x:v>Not Run</x:v>
      </x:c>
      <x:c r="L222" s="12" t="str">
        <x:v>Untested &amp; HIL sheet</x:v>
      </x:c>
      <x:c r="M222" s="12" t="str"/>
      <x:c r="N222" s="12" t="str"/>
      <x:c r="O222" s="40" t="str"/>
    </x:row>
    <x:row r="223">
      <x:c r="A223" s="12" t="str">
        <x:v>HIL-005</x:v>
      </x:c>
      <x:c r="B223" s="12" t="str">
        <x:v>Hardware/HIL</x:v>
      </x:c>
      <x:c r="C223" s="12" t="str">
        <x:v>pending</x:v>
      </x:c>
      <x:c r="D223" s="12" t="str">
        <x:v>Flash persistence/wear</x:v>
      </x:c>
      <x:c r="E223" s="12" t="str"/>
      <x:c r="F223" s="12" t="str">
        <x:v>Physical/integration environment required</x:v>
      </x:c>
      <x:c r="G223" s="12" t="str">
        <x:v>Power-loss atomicity, queue retention, compaction, overflow, wear and durable recovery</x:v>
      </x:c>
      <x:c r="H223" s="12" t="str">
        <x:v>Mandatory before unattended pilot</x:v>
      </x:c>
      <x:c r="I223" s="12" t="str">
        <x:v>Manual/HIL</x:v>
      </x:c>
      <x:c r="J223" s="12" t="str">
        <x:v>PENDING</x:v>
      </x:c>
      <x:c r="K223" s="12" t="str">
        <x:v>Not Run</x:v>
      </x:c>
      <x:c r="L223" s="12" t="str">
        <x:v>Untested &amp; HIL sheet</x:v>
      </x:c>
      <x:c r="M223" s="12" t="str"/>
      <x:c r="N223" s="12" t="str"/>
      <x:c r="O223" s="40" t="str"/>
    </x:row>
    <x:row r="224">
      <x:c r="A224" s="12" t="str">
        <x:v>HIL-006</x:v>
      </x:c>
      <x:c r="B224" s="12" t="str">
        <x:v>Hardware/HIL</x:v>
      </x:c>
      <x:c r="C224" s="12" t="str">
        <x:v>pending</x:v>
      </x:c>
      <x:c r="D224" s="12" t="str">
        <x:v>OTA signing/rollback</x:v>
      </x:c>
      <x:c r="E224" s="12" t="str"/>
      <x:c r="F224" s="12" t="str">
        <x:v>Physical/integration environment required</x:v>
      </x:c>
      <x:c r="G224" s="12" t="str">
        <x:v>Real signature/hash, wrong-board image, interrupted update, rollback and first-boot recovery</x:v>
      </x:c>
      <x:c r="H224" s="12" t="str">
        <x:v>Mandatory before unattended pilot</x:v>
      </x:c>
      <x:c r="I224" s="12" t="str">
        <x:v>Manual/HIL</x:v>
      </x:c>
      <x:c r="J224" s="12" t="str">
        <x:v>PENDING</x:v>
      </x:c>
      <x:c r="K224" s="12" t="str">
        <x:v>Not Run</x:v>
      </x:c>
      <x:c r="L224" s="12" t="str">
        <x:v>Untested &amp; HIL sheet</x:v>
      </x:c>
      <x:c r="M224" s="12" t="str"/>
      <x:c r="N224" s="12" t="str"/>
      <x:c r="O224" s="40" t="str"/>
    </x:row>
    <x:row r="225">
      <x:c r="A225" s="12" t="str">
        <x:v>HIL-007</x:v>
      </x:c>
      <x:c r="B225" s="12" t="str">
        <x:v>Hardware/HIL</x:v>
      </x:c>
      <x:c r="C225" s="12" t="str">
        <x:v>pending</x:v>
      </x:c>
      <x:c r="D225" s="12" t="str">
        <x:v>Temperature telemetry</x:v>
      </x:c>
      <x:c r="E225" s="12" t="str"/>
      <x:c r="F225" s="12" t="str">
        <x:v>Physical/integration environment required</x:v>
      </x:c>
      <x:c r="G225" s="12" t="str">
        <x:v>Real sensor/MCU temperature thresholds and false-positive behavior</x:v>
      </x:c>
      <x:c r="H225" s="12" t="str">
        <x:v>Mandatory before unattended pilot</x:v>
      </x:c>
      <x:c r="I225" s="12" t="str">
        <x:v>Manual/HIL</x:v>
      </x:c>
      <x:c r="J225" s="12" t="str">
        <x:v>PENDING</x:v>
      </x:c>
      <x:c r="K225" s="12" t="str">
        <x:v>Not Run</x:v>
      </x:c>
      <x:c r="L225" s="12" t="str">
        <x:v>Untested &amp; HIL sheet</x:v>
      </x:c>
      <x:c r="M225" s="12" t="str"/>
      <x:c r="N225" s="12" t="str"/>
      <x:c r="O225" s="40" t="str"/>
    </x:row>
    <x:row r="226">
      <x:c r="A226" s="12" t="str">
        <x:v>HIL-008</x:v>
      </x:c>
      <x:c r="B226" s="12" t="str">
        <x:v>External integration</x:v>
      </x:c>
      <x:c r="C226" s="12" t="str">
        <x:v>pending</x:v>
      </x:c>
      <x:c r="D226" s="12" t="str">
        <x:v>Real notification provider</x:v>
      </x:c>
      <x:c r="E226" s="12" t="str"/>
      <x:c r="F226" s="12" t="str">
        <x:v>Physical/integration environment required</x:v>
      </x:c>
      <x:c r="G226" s="12" t="str">
        <x:v>Provider failure/timeout/receipt, duplicate delivery, phone receipt/background restrictions/retry</x:v>
      </x:c>
      <x:c r="H226" s="12" t="str">
        <x:v>Mandatory before unattended pilot</x:v>
      </x:c>
      <x:c r="I226" s="12" t="str">
        <x:v>Manual/HIL</x:v>
      </x:c>
      <x:c r="J226" s="12" t="str">
        <x:v>PENDING</x:v>
      </x:c>
      <x:c r="K226" s="12" t="str">
        <x:v>Not Run</x:v>
      </x:c>
      <x:c r="L226" s="12" t="str">
        <x:v>Untested &amp; HIL sheet</x:v>
      </x:c>
      <x:c r="M226" s="12" t="str"/>
      <x:c r="N226" s="12" t="str"/>
      <x:c r="O226" s="40" t="str"/>
    </x:row>
    <x:row r="227">
      <x:c r="A227" s="12" t="str">
        <x:v>HIL-009</x:v>
      </x:c>
      <x:c r="B227" s="12" t="str">
        <x:v>Pilot/HIL</x:v>
      </x:c>
      <x:c r="C227" s="12" t="str">
        <x:v>pending</x:v>
      </x:c>
      <x:c r="D227" s="12" t="str">
        <x:v>Installed-home coverage</x:v>
      </x:c>
      <x:c r="E227" s="12" t="str"/>
      <x:c r="F227" s="12" t="str">
        <x:v>Physical/integration environment required</x:v>
      </x:c>
      <x:c r="G227" s="12" t="str">
        <x:v>Room placement, dead zones, sensor line-of-sight, router/power conditions, full routine-window coverage</x:v>
      </x:c>
      <x:c r="H227" s="12" t="str">
        <x:v>Mandatory before unattended pilot</x:v>
      </x:c>
      <x:c r="I227" s="12" t="str">
        <x:v>Manual/HIL</x:v>
      </x:c>
      <x:c r="J227" s="12" t="str">
        <x:v>PENDING</x:v>
      </x:c>
      <x:c r="K227" s="12" t="str">
        <x:v>Not Run</x:v>
      </x:c>
      <x:c r="L227" s="12" t="str">
        <x:v>Untested &amp; HIL sheet</x:v>
      </x:c>
      <x:c r="M227" s="12" t="str"/>
      <x:c r="N227" s="12" t="str"/>
      <x:c r="O227" s="40" t="str"/>
    </x:row>
    <x:row r="228">
      <x:c r="A228" s="12" t="str">
        <x:v>GAP-001</x:v>
      </x:c>
      <x:c r="B228" s="12" t="str">
        <x:v>Recommended gap</x:v>
      </x:c>
      <x:c r="C228" s="12" t="str">
        <x:v>pending</x:v>
      </x:c>
      <x:c r="D228" s="12" t="str">
        <x:v>Long-duration soak</x:v>
      </x:c>
      <x:c r="E228" s="12" t="str"/>
      <x:c r="F228" s="12" t="str">
        <x:v>Physical/integration environment required</x:v>
      </x:c>
      <x:c r="G228" s="12" t="str">
        <x:v>24 h / 72 h / multi-week repeated events, retries and storage pressure</x:v>
      </x:c>
      <x:c r="H228" s="12" t="str">
        <x:v>Recommended before pilot</x:v>
      </x:c>
      <x:c r="I228" s="12" t="str">
        <x:v>Manual/HIL</x:v>
      </x:c>
      <x:c r="J228" s="12" t="str">
        <x:v>NOT EXHAUSTIVE</x:v>
      </x:c>
      <x:c r="K228" s="12" t="str">
        <x:v>Not Run</x:v>
      </x:c>
      <x:c r="L228" s="12" t="str">
        <x:v>Untested &amp; HIL sheet</x:v>
      </x:c>
      <x:c r="M228" s="12" t="str"/>
      <x:c r="N228" s="12" t="str"/>
      <x:c r="O228" s="40" t="str"/>
    </x:row>
    <x:row r="229">
      <x:c r="A229" s="12" t="str">
        <x:v>GAP-002</x:v>
      </x:c>
      <x:c r="B229" s="12" t="str">
        <x:v>Recommended gap</x:v>
      </x:c>
      <x:c r="C229" s="12" t="str">
        <x:v>pending</x:v>
      </x:c>
      <x:c r="D229" s="12" t="str">
        <x:v>High-rate bursts and queue saturation</x:v>
      </x:c>
      <x:c r="E229" s="12" t="str"/>
      <x:c r="F229" s="12" t="str">
        <x:v>Physical/integration environment required</x:v>
      </x:c>
      <x:c r="G229" s="12" t="str">
        <x:v>Realistic FreeRTOS scheduling, queue pressure and event bursts on exact ESP32 variants</x:v>
      </x:c>
      <x:c r="H229" s="12" t="str">
        <x:v>Recommended before pilot</x:v>
      </x:c>
      <x:c r="I229" s="12" t="str">
        <x:v>Manual/HIL</x:v>
      </x:c>
      <x:c r="J229" s="12" t="str">
        <x:v>NOT EXHAUSTIVE</x:v>
      </x:c>
      <x:c r="K229" s="12" t="str">
        <x:v>Not Run</x:v>
      </x:c>
      <x:c r="L229" s="12" t="str">
        <x:v>Untested &amp; HIL sheet</x:v>
      </x:c>
      <x:c r="M229" s="12" t="str"/>
      <x:c r="N229" s="12" t="str"/>
      <x:c r="O229" s="40" t="str"/>
    </x:row>
    <x:row r="230">
      <x:c r="A230" s="12" t="str">
        <x:v>GAP-003</x:v>
      </x:c>
      <x:c r="B230" s="12" t="str">
        <x:v>Recommended gap</x:v>
      </x:c>
      <x:c r="C230" s="12" t="str">
        <x:v>pending</x:v>
      </x:c>
      <x:c r="D230" s="12" t="str">
        <x:v>Network jitter/reordering/partial loss</x:v>
      </x:c>
      <x:c r="E230" s="12" t="str"/>
      <x:c r="F230" s="12" t="str">
        <x:v>Physical/integration environment required</x:v>
      </x:c>
      <x:c r="G230" s="12" t="str">
        <x:v>Multi-boundary jitter, reordering and loss beyond deterministic modeled cases</x:v>
      </x:c>
      <x:c r="H230" s="12" t="str">
        <x:v>Recommended before pilot</x:v>
      </x:c>
      <x:c r="I230" s="12" t="str">
        <x:v>Manual/HIL</x:v>
      </x:c>
      <x:c r="J230" s="12" t="str">
        <x:v>NOT EXHAUSTIVE</x:v>
      </x:c>
      <x:c r="K230" s="12" t="str">
        <x:v>Not Run</x:v>
      </x:c>
      <x:c r="L230" s="12" t="str">
        <x:v>Untested &amp; HIL sheet</x:v>
      </x:c>
      <x:c r="M230" s="12" t="str"/>
      <x:c r="N230" s="12" t="str"/>
      <x:c r="O230" s="40" t="str"/>
    </x:row>
    <x:row r="231">
      <x:c r="A231" s="12" t="str">
        <x:v>GAP-004</x:v>
      </x:c>
      <x:c r="B231" s="12" t="str">
        <x:v>Recommended gap</x:v>
      </x:c>
      <x:c r="C231" s="12" t="str">
        <x:v>pending</x:v>
      </x:c>
      <x:c r="D231" s="12" t="str">
        <x:v>Production security/penetration</x:v>
      </x:c>
      <x:c r="E231" s="12" t="str"/>
      <x:c r="F231" s="12" t="str">
        <x:v>Physical/integration environment required</x:v>
      </x:c>
      <x:c r="G231" s="12" t="str">
        <x:v>TLS, production authN/authZ, credential rotation/revocation, endpoint and log review</x:v>
      </x:c>
      <x:c r="H231" s="12" t="str">
        <x:v>Mandatory before production</x:v>
      </x:c>
      <x:c r="I231" s="12" t="str">
        <x:v>Manual/HIL</x:v>
      </x:c>
      <x:c r="J231" s="12" t="str">
        <x:v>NOT EXHAUSTIVE</x:v>
      </x:c>
      <x:c r="K231" s="12" t="str">
        <x:v>Not Run</x:v>
      </x:c>
      <x:c r="L231" s="12" t="str">
        <x:v>Untested &amp; HIL sheet</x:v>
      </x:c>
      <x:c r="M231" s="12" t="str"/>
      <x:c r="N231" s="12" t="str"/>
      <x:c r="O231" s="40" t="str"/>
    </x:row>
    <x:row r="232">
      <x:c r="A232" s="12" t="str">
        <x:v>GAP-005</x:v>
      </x:c>
      <x:c r="B232" s="12" t="str">
        <x:v>Recommended gap</x:v>
      </x:c>
      <x:c r="C232" s="12" t="str">
        <x:v>pending</x:v>
      </x:c>
      <x:c r="D232" s="12" t="str">
        <x:v>Target resource/performance budgets</x:v>
      </x:c>
      <x:c r="E232" s="12" t="str"/>
      <x:c r="F232" s="12" t="str">
        <x:v>Physical/integration environment required</x:v>
      </x:c>
      <x:c r="G232" s="12" t="str">
        <x:v>CPU, RAM, flash, wake time, Wi-Fi/ESP-NOW coexistence and battery current</x:v>
      </x:c>
      <x:c r="H232" s="12" t="str">
        <x:v>Mandatory before pilot</x:v>
      </x:c>
      <x:c r="I232" s="12" t="str">
        <x:v>Manual/HIL</x:v>
      </x:c>
      <x:c r="J232" s="12" t="str">
        <x:v>NOT EXHAUSTIVE</x:v>
      </x:c>
      <x:c r="K232" s="12" t="str">
        <x:v>Not Run</x:v>
      </x:c>
      <x:c r="L232" s="12" t="str">
        <x:v>Untested &amp; HIL sheet</x:v>
      </x:c>
      <x:c r="M232" s="12" t="str"/>
      <x:c r="N232" s="12" t="str"/>
      <x:c r="O232" s="40" t="str"/>
    </x:row>
    <x:row r="233">
      <x:c r="A233" s="12" t="str">
        <x:v>GAP-006</x:v>
      </x:c>
      <x:c r="B233" s="12" t="str">
        <x:v>Recommended gap</x:v>
      </x:c>
      <x:c r="C233" s="12" t="str">
        <x:v>pending</x:v>
      </x:c>
      <x:c r="D233" s="12" t="str">
        <x:v>Accessibility/usability on target devices</x:v>
      </x:c>
      <x:c r="E233" s="12" t="str"/>
      <x:c r="F233" s="12" t="str">
        <x:v>Physical/integration environment required</x:v>
      </x:c>
      <x:c r="G233" s="12" t="str">
        <x:v>Target caregivers/residents, Android/browser matrix and accessibility comprehension</x:v>
      </x:c>
      <x:c r="H233" s="12" t="str">
        <x:v>Recommended before pilot</x:v>
      </x:c>
      <x:c r="I233" s="12" t="str">
        <x:v>Manual/HIL</x:v>
      </x:c>
      <x:c r="J233" s="12" t="str">
        <x:v>NOT EXHAUSTIVE</x:v>
      </x:c>
      <x:c r="K233" s="12" t="str">
        <x:v>Not Run</x:v>
      </x:c>
      <x:c r="L233" s="12" t="str">
        <x:v>Untested &amp; HIL sheet</x:v>
      </x:c>
      <x:c r="M233" s="12" t="str"/>
      <x:c r="N233" s="12" t="str"/>
      <x:c r="O233" s="40" t="str"/>
    </x:row>
    <x:row r="234">
      <x:c r="A234" s="12" t="str">
        <x:v>GAP-007</x:v>
      </x:c>
      <x:c r="B234" s="12" t="str">
        <x:v>Recommended gap</x:v>
      </x:c>
      <x:c r="C234" s="12" t="str">
        <x:v>pending</x:v>
      </x:c>
      <x:c r="D234" s="12" t="str">
        <x:v>Persistent backend DB operations</x:v>
      </x:c>
      <x:c r="E234" s="12" t="str"/>
      <x:c r="F234" s="12" t="str">
        <x:v>Physical/integration environment required</x:v>
      </x:c>
      <x:c r="G234" s="12" t="str">
        <x:v>Concurrency, crash consistency, migrations, upgrade/rollback, backup/restore</x:v>
      </x:c>
      <x:c r="H234" s="12" t="str">
        <x:v>Before production backend</x:v>
      </x:c>
      <x:c r="I234" s="12" t="str">
        <x:v>Manual/HIL</x:v>
      </x:c>
      <x:c r="J234" s="12" t="str">
        <x:v>NOT EXHAUSTIVE</x:v>
      </x:c>
      <x:c r="K234" s="12" t="str">
        <x:v>Not Run</x:v>
      </x:c>
      <x:c r="L234" s="12" t="str">
        <x:v>Untested &amp; HIL sheet</x:v>
      </x:c>
      <x:c r="M234" s="12" t="str"/>
      <x:c r="N234" s="12" t="str"/>
      <x:c r="O234" s="40" t="str"/>
    </x:row>
    <x:row r="235">
      <x:c r="A235" s="12" t="str">
        <x:v>GAP-008</x:v>
      </x:c>
      <x:c r="B235" s="12" t="str">
        <x:v>Recommended gap</x:v>
      </x:c>
      <x:c r="C235" s="12" t="str">
        <x:v>pending</x:v>
      </x:c>
      <x:c r="D235" s="12" t="str">
        <x:v>Timezone/DST exhaustive coverage</x:v>
      </x:c>
      <x:c r="E235" s="12" t="str"/>
      <x:c r="F235" s="12" t="str">
        <x:v>Physical/integration environment required</x:v>
      </x:c>
      <x:c r="G235" s="12" t="str">
        <x:v>Non-India deployments, DST transitions, clock rollback/uncertainty boundaries</x:v>
      </x:c>
      <x:c r="H235" s="12" t="str">
        <x:v>Before non-India rollout</x:v>
      </x:c>
      <x:c r="I235" s="12" t="str">
        <x:v>Manual/HIL</x:v>
      </x:c>
      <x:c r="J235" s="12" t="str">
        <x:v>NOT EXHAUSTIVE</x:v>
      </x:c>
      <x:c r="K235" s="12" t="str">
        <x:v>Not Run</x:v>
      </x:c>
      <x:c r="L235" s="12" t="str">
        <x:v>Untested &amp; HIL sheet</x:v>
      </x:c>
      <x:c r="M235" s="12" t="str"/>
      <x:c r="N235" s="12" t="str"/>
      <x:c r="O235" s="40" t="str"/>
    </x:row>
  </x:sheetData>
  <x:conditionalFormatting sqref="J2:J235">
    <x:cfRule type="expression" dxfId="8" priority="1">
      <x:formula>LEFT(J2,4)="PASS"</x:formula>
    </x:cfRule>
    <x:cfRule type="expression" dxfId="9" priority="2">
      <x:formula>J2="FAIL"</x:formula>
    </x:cfRule>
    <x:cfRule type="expression" dxfId="10" priority="3">
      <x:formula>OR(J2="PENDING",J2="MANUAL_REQUIRED",J2="NOT EXHAUSTIVE")</x:formula>
    </x:cfRule>
  </x:conditionalFormatting>
  <x:dataValidations count="1">
    <x:dataValidation type="list" sqref="K2:K235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97974531f543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38" hidden="0" customWidth="1"/>
    <x:col min="5" max="5" width="15" hidden="0" customWidth="1"/>
    <x:col min="6" max="6" width="48" hidden="0" customWidth="1"/>
    <x:col min="7" max="7" width="56" hidden="0" customWidth="1"/>
    <x:col min="8" max="8" width="17" hidden="0" customWidth="1"/>
    <x:col min="9" max="9" width="10" hidden="0" customWidth="1"/>
    <x:col min="10" max="10" width="14" hidden="0" customWidth="1"/>
    <x:col min="11" max="11" width="14" hidden="0" customWidth="1"/>
    <x:col min="12" max="12" width="13" hidden="0" customWidth="1"/>
    <x:col min="13" max="13" width="28" hidden="0" customWidth="1"/>
  </x:cols>
  <x:sheetData>
    <x:row r="1">
      <x:c r="A1" s="6" t="str">
        <x:v>Manual ID</x:v>
      </x:c>
      <x:c r="B1" s="6" t="str">
        <x:v>Scenario ID</x:v>
      </x:c>
      <x:c r="C1" s="6" t="str">
        <x:v>Category</x:v>
      </x:c>
      <x:c r="D1" s="6" t="str">
        <x:v>Title</x:v>
      </x:c>
      <x:c r="E1" s="6" t="str">
        <x:v>Requirements</x:v>
      </x:c>
      <x:c r="F1" s="6" t="str">
        <x:v>Steps</x:v>
      </x:c>
      <x:c r="G1" s="6" t="str">
        <x:v>Expected / Assertions</x:v>
      </x:c>
      <x:c r="H1" s="6" t="str">
        <x:v>Automation</x:v>
      </x:c>
      <x:c r="I1" s="6" t="str">
        <x:v>Release</x:v>
      </x:c>
      <x:c r="J1" s="6" t="str">
        <x:v>Current Status</x:v>
      </x:c>
      <x:c r="K1" s="6" t="str">
        <x:v>Manual Result</x:v>
      </x:c>
      <x:c r="L1" s="6" t="str">
        <x:v>Defect ID</x:v>
      </x:c>
      <x:c r="M1" s="6" t="str">
        <x:v>Notes</x:v>
      </x:c>
    </x:row>
    <x:row r="2">
      <x:c r="A2" s="12" t="str">
        <x:v>M001</x:v>
      </x:c>
      <x:c r="B2" s="12" t="str">
        <x:v>motion-room1-visible</x:v>
      </x:c>
      <x:c r="C2" s="12" t="str">
        <x:v>expected</x:v>
      </x:c>
      <x:c r="D2" s="12" t="str">
        <x:v>Room 1 motion is preserved as exact positive activity</x:v>
      </x:c>
      <x:c r="E2" s="12" t="str">
        <x:v>F05, F11</x:v>
      </x:c>
      <x:c r="F2" s="12" t="str">
        <x:v>1. Inject MOTION from room1</x:v>
      </x:c>
      <x:c r="G2" s="12" t="str">
        <x:v>1. home.latest_activity.kind = MOTION
2. home.latest_activity.location = room1
3. home.latest_activity.tone = positive</x:v>
      </x:c>
      <x:c r="H2" s="12" t="str">
        <x:v>Automated + Manual</x:v>
      </x:c>
      <x:c r="I2" s="12" t="str">
        <x:v>v1.5.4</x:v>
      </x:c>
      <x:c r="J2" s="12" t="str">
        <x:v>PASS</x:v>
      </x:c>
      <x:c r="K2" s="12" t="str">
        <x:v>Not Run</x:v>
      </x:c>
      <x:c r="L2" s="12" t="str"/>
      <x:c r="M2" s="40" t="str"/>
    </x:row>
    <x:row r="3">
      <x:c r="A3" s="12" t="str">
        <x:v>M002</x:v>
      </x:c>
      <x:c r="B3" s="12" t="str">
        <x:v>motion-kitchen-visible</x:v>
      </x:c>
      <x:c r="C3" s="12" t="str">
        <x:v>expected</x:v>
      </x:c>
      <x:c r="D3" s="12" t="str">
        <x:v>Kitchen motion is preserved as exact positive activity</x:v>
      </x:c>
      <x:c r="E3" s="12" t="str">
        <x:v>F05, F11</x:v>
      </x:c>
      <x:c r="F3" s="12" t="str">
        <x:v>1. Inject MOTION from kitchen</x:v>
      </x:c>
      <x:c r="G3" s="12" t="str">
        <x:v>1. home.latest_activity.location = kitchen
2. home.latest_activity.tone = positive</x:v>
      </x:c>
      <x:c r="H3" s="12" t="str">
        <x:v>Automated + Manual</x:v>
      </x:c>
      <x:c r="I3" s="12" t="str">
        <x:v>v1.5.4</x:v>
      </x:c>
      <x:c r="J3" s="12" t="str">
        <x:v>PASS</x:v>
      </x:c>
      <x:c r="K3" s="12" t="str">
        <x:v>Not Run</x:v>
      </x:c>
      <x:c r="L3" s="12" t="str"/>
      <x:c r="M3" s="40" t="str"/>
    </x:row>
    <x:row r="4">
      <x:c r="A4" s="12" t="str">
        <x:v>M003</x:v>
      </x:c>
      <x:c r="B4" s="12" t="str">
        <x:v>motion-pooja-visible</x:v>
      </x:c>
      <x:c r="C4" s="12" t="str">
        <x:v>expected</x:v>
      </x:c>
      <x:c r="D4" s="12" t="str">
        <x:v>Pooja motion is preserved as exact positive activity</x:v>
      </x:c>
      <x:c r="E4" s="12" t="str">
        <x:v>F05, F11</x:v>
      </x:c>
      <x:c r="F4" s="12" t="str">
        <x:v>1. Inject MOTION from pooja</x:v>
      </x:c>
      <x:c r="G4" s="12" t="str">
        <x:v>1. home.latest_activity.location = pooja
2. home.latest_activity.tone = positive</x:v>
      </x:c>
      <x:c r="H4" s="12" t="str">
        <x:v>Automated + Manual</x:v>
      </x:c>
      <x:c r="I4" s="12" t="str">
        <x:v>v1.5.4</x:v>
      </x:c>
      <x:c r="J4" s="12" t="str">
        <x:v>PASS</x:v>
      </x:c>
      <x:c r="K4" s="12" t="str">
        <x:v>Not Run</x:v>
      </x:c>
      <x:c r="L4" s="12" t="str"/>
      <x:c r="M4" s="40" t="str"/>
    </x:row>
    <x:row r="5">
      <x:c r="A5" s="12" t="str">
        <x:v>M004</x:v>
      </x:c>
      <x:c r="B5" s="12" t="str">
        <x:v>door-open-daytime</x:v>
      </x:c>
      <x:c r="C5" s="12" t="str">
        <x:v>expected</x:v>
      </x:c>
      <x:c r="D5" s="12" t="str">
        <x:v>Normal daytime door opening is green and explicit</x:v>
      </x:c>
      <x:c r="E5" s="12" t="str">
        <x:v>F09, F11</x:v>
      </x:c>
      <x:c r="F5" s="12" t="str">
        <x:v>1. Inject DOOR_OPEN from entry</x:v>
      </x:c>
      <x:c r="G5" s="12" t="str">
        <x:v>1. home.latest_activity.kind = DOOR_OPEN
2. home.latest_activity.tone = positive
3. home.latest_activity.details.unexpected = False</x:v>
      </x:c>
      <x:c r="H5" s="12" t="str">
        <x:v>Automated + Manual</x:v>
      </x:c>
      <x:c r="I5" s="12" t="str">
        <x:v>v1.5.4</x:v>
      </x:c>
      <x:c r="J5" s="12" t="str">
        <x:v>PASS</x:v>
      </x:c>
      <x:c r="K5" s="12" t="str">
        <x:v>Not Run</x:v>
      </x:c>
      <x:c r="L5" s="12" t="str"/>
      <x:c r="M5" s="40" t="str"/>
    </x:row>
    <x:row r="6">
      <x:c r="A6" s="12" t="str">
        <x:v>M005</x:v>
      </x:c>
      <x:c r="B6" s="12" t="str">
        <x:v>door-open-close-order</x:v>
      </x:c>
      <x:c r="C6" s="12" t="str">
        <x:v>expected</x:v>
      </x:c>
      <x:c r="D6" s="12" t="str">
        <x:v>Door open and close remain chronological and explicit</x:v>
      </x:c>
      <x:c r="E6" s="12" t="str">
        <x:v>F09, F11</x:v>
      </x:c>
      <x:c r="F6" s="12" t="str">
        <x:v>1. Inject DOOR_OPEN from entry
2. Advance simulated clock by 60 seconds
3. Inject DOOR_CLOSED from entry</x:v>
      </x:c>
      <x:c r="G6" s="12" t="str">
        <x:v>1. home.recent_events starts with ['DOOR_CLOSED', 'DOOR_OPEN'] by kind
2. home.door_status.state = CLOSED</x:v>
      </x:c>
      <x:c r="H6" s="12" t="str">
        <x:v>Automated + Manual</x:v>
      </x:c>
      <x:c r="I6" s="12" t="str">
        <x:v>v1.5.4</x:v>
      </x:c>
      <x:c r="J6" s="12" t="str">
        <x:v>PASS</x:v>
      </x:c>
      <x:c r="K6" s="12" t="str">
        <x:v>Not Run</x:v>
      </x:c>
      <x:c r="L6" s="12" t="str"/>
      <x:c r="M6" s="40" t="str"/>
    </x:row>
    <x:row r="7">
      <x:c r="A7" s="12" t="str">
        <x:v>M006</x:v>
      </x:c>
      <x:c r="B7" s="12" t="str">
        <x:v>resident-ok-green</x:v>
      </x:c>
      <x:c r="C7" s="12" t="str">
        <x:v>expected</x:v>
      </x:c>
      <x:c r="D7" s="12" t="str">
        <x:v>I am OK remains a distinct green self-check-in</x:v>
      </x:c>
      <x:c r="E7" s="12" t="str">
        <x:v>F06, F11</x:v>
      </x:c>
      <x:c r="F7" s="12" t="str">
        <x:v>1. Inject OK_PRESSED from room1</x:v>
      </x:c>
      <x:c r="G7" s="12" t="str">
        <x:v>1. home.latest_activity.kind = OK_PRESSED
2. home.latest_activity.tone = positive</x:v>
      </x:c>
      <x:c r="H7" s="12" t="str">
        <x:v>Automated + Manual</x:v>
      </x:c>
      <x:c r="I7" s="12" t="str">
        <x:v>v1.5.4</x:v>
      </x:c>
      <x:c r="J7" s="12" t="str">
        <x:v>PASS</x:v>
      </x:c>
      <x:c r="K7" s="12" t="str">
        <x:v>Not Run</x:v>
      </x:c>
      <x:c r="L7" s="12" t="str"/>
      <x:c r="M7" s="40" t="str"/>
    </x:row>
    <x:row r="8">
      <x:c r="A8" s="12" t="str">
        <x:v>M007</x:v>
      </x:c>
      <x:c r="B8" s="12" t="str">
        <x:v>call-family-opens-workflow</x:v>
      </x:c>
      <x:c r="C8" s="12" t="str">
        <x:v>expected</x:v>
      </x:c>
      <x:c r="D8" s="12" t="str">
        <x:v>Call Family opens exactly one incident and two routes</x:v>
      </x:c>
      <x:c r="E8" s="12" t="str">
        <x:v>F07, F13</x:v>
      </x:c>
      <x:c r="F8" s="12" t="str">
        <x:v>1. Inject CALL_FAMILY from room1</x:v>
      </x:c>
      <x:c r="G8" s="12" t="str">
        <x:v>1. incidents where {"kind": "CALL_FAMILY", "state": "OPEN"} count = 1
2. notifications where {} count = 2</x:v>
      </x:c>
      <x:c r="H8" s="12" t="str">
        <x:v>Automated + Manual</x:v>
      </x:c>
      <x:c r="I8" s="12" t="str">
        <x:v>v1.5.4</x:v>
      </x:c>
      <x:c r="J8" s="12" t="str">
        <x:v>PASS</x:v>
      </x:c>
      <x:c r="K8" s="12" t="str">
        <x:v>Not Run</x:v>
      </x:c>
      <x:c r="L8" s="12" t="str"/>
      <x:c r="M8" s="40" t="str"/>
    </x:row>
    <x:row r="9">
      <x:c r="A9" s="12" t="str">
        <x:v>M008</x:v>
      </x:c>
      <x:c r="B9" s="12" t="str">
        <x:v>call-then-ok-keeps-call</x:v>
      </x:c>
      <x:c r="C9" s="12" t="str">
        <x:v>expected</x:v>
      </x:c>
      <x:c r="D9" s="12" t="str">
        <x:v>I am OK after Call Family is newer but does not resolve the request</x:v>
      </x:c>
      <x:c r="E9" s="12" t="str">
        <x:v>F06, F07, F11</x:v>
      </x:c>
      <x:c r="F9" s="12" t="str">
        <x:v>1. Inject CALL_FAMILY from room1
2. Advance simulated clock by 60 seconds
3. Inject OK_PRESSED from room1</x:v>
      </x:c>
      <x:c r="G9" s="12" t="str">
        <x:v>1. home.recent_events starts with ['OK_PRESSED', 'CALL_FAMILY'] by kind
2. incidents where {"kind": "CALL_FAMILY", "state": "OPEN"} count = 1</x:v>
      </x:c>
      <x:c r="H9" s="12" t="str">
        <x:v>Automated + Manual</x:v>
      </x:c>
      <x:c r="I9" s="12" t="str">
        <x:v>v1.5.4</x:v>
      </x:c>
      <x:c r="J9" s="12" t="str">
        <x:v>PASS</x:v>
      </x:c>
      <x:c r="K9" s="12" t="str">
        <x:v>Not Run</x:v>
      </x:c>
      <x:c r="L9" s="12" t="str"/>
      <x:c r="M9" s="40" t="str"/>
    </x:row>
    <x:row r="10">
      <x:c r="A10" s="12" t="str">
        <x:v>M009</x:v>
      </x:c>
      <x:c r="B10" s="12" t="str">
        <x:v>post-missing-activity-visible</x:v>
      </x:c>
      <x:c r="C10" s="12" t="str">
        <x:v>expected</x:v>
      </x:c>
      <x:c r="D10" s="12" t="str">
        <x:v>Later activities remain visible after missing-morning alert</x:v>
      </x:c>
      <x:c r="E10" s="12" t="str">
        <x:v>F08, F11</x:v>
      </x:c>
      <x:c r="F10" s="12" t="str">
        <x:v>1. Advance simulated clock by 1300 seconds
2. Inject MOTION from room1
3. Advance simulated clock by 60 seconds
4. Inject MOTION from kitchen
5. Inject DOOR_OPEN from entry</x:v>
      </x:c>
      <x:c r="G10" s="12" t="str">
        <x:v>1. incidents where {"kind": "MISSING_MORNING_ACTIVITY"} count = 1
2. home.recent_events where {"kind": "MOTION"} count &gt;= 2
3. home.recent_events where {"kind": "DOOR_OPEN"} count = 1</x:v>
      </x:c>
      <x:c r="H10" s="12" t="str">
        <x:v>Automated + Manual</x:v>
      </x:c>
      <x:c r="I10" s="12" t="str">
        <x:v>v1.5.4</x:v>
      </x:c>
      <x:c r="J10" s="12" t="str">
        <x:v>PASS</x:v>
      </x:c>
      <x:c r="K10" s="12" t="str">
        <x:v>Not Run</x:v>
      </x:c>
      <x:c r="L10" s="12" t="str"/>
      <x:c r="M10" s="40" t="str"/>
    </x:row>
    <x:row r="11">
      <x:c r="A11" s="12" t="str">
        <x:v>M010</x:v>
      </x:c>
      <x:c r="B11" s="12" t="str">
        <x:v>morning-missing-covered</x:v>
      </x:c>
      <x:c r="C11" s="12" t="str">
        <x:v>morning</x:v>
      </x:c>
      <x:c r="D11" s="12" t="str">
        <x:v>Covered morning with no evidence creates one concern</x:v>
      </x:c>
      <x:c r="E11" s="12" t="str">
        <x:v>F08</x:v>
      </x:c>
      <x:c r="F11" s="12" t="str">
        <x:v>1. Advance simulated clock by 1300 seconds</x:v>
      </x:c>
      <x:c r="G11" s="12" t="str">
        <x:v>1. simulation.reason = no_qualifying_evidence
2. incidents where {"kind": "MISSING_MORNING_ACTIVITY"} count = 1
3. notifications where {} count = 2</x:v>
      </x:c>
      <x:c r="H11" s="12" t="str">
        <x:v>Automated + Manual</x:v>
      </x:c>
      <x:c r="I11" s="12" t="str">
        <x:v>v1.5.4</x:v>
      </x:c>
      <x:c r="J11" s="12" t="str">
        <x:v>PASS</x:v>
      </x:c>
      <x:c r="K11" s="12" t="str">
        <x:v>Not Run</x:v>
      </x:c>
      <x:c r="L11" s="12" t="str"/>
      <x:c r="M11" s="40" t="str"/>
    </x:row>
    <x:row r="12">
      <x:c r="A12" s="12" t="str">
        <x:v>M011</x:v>
      </x:c>
      <x:c r="B12" s="12" t="str">
        <x:v>morning-kitchen-qualifies</x:v>
      </x:c>
      <x:c r="C12" s="12" t="str">
        <x:v>morning</x:v>
      </x:c>
      <x:c r="D12" s="12" t="str">
        <x:v>Kitchen motion satisfies morning routine</x:v>
      </x:c>
      <x:c r="E12" s="12" t="str">
        <x:v>F05, F08</x:v>
      </x:c>
      <x:c r="F12" s="12" t="str">
        <x:v>1. Inject MOTION from kitchen
2. Advance simulated clock by 1300 seconds</x:v>
      </x:c>
      <x:c r="G12" s="12" t="str">
        <x:v>1. simulation.reason = evidence_present
2. incidents where {"kind": "MISSING_MORNING_ACTIVITY"} count = 0</x:v>
      </x:c>
      <x:c r="H12" s="12" t="str">
        <x:v>Automated + Manual</x:v>
      </x:c>
      <x:c r="I12" s="12" t="str">
        <x:v>v1.5.4</x:v>
      </x:c>
      <x:c r="J12" s="12" t="str">
        <x:v>PASS</x:v>
      </x:c>
      <x:c r="K12" s="12" t="str">
        <x:v>Not Run</x:v>
      </x:c>
      <x:c r="L12" s="12" t="str"/>
      <x:c r="M12" s="40" t="str"/>
    </x:row>
    <x:row r="13">
      <x:c r="A13" s="12" t="str">
        <x:v>M012</x:v>
      </x:c>
      <x:c r="B13" s="12" t="str">
        <x:v>morning-pooja-qualifies</x:v>
      </x:c>
      <x:c r="C13" s="12" t="str">
        <x:v>morning</x:v>
      </x:c>
      <x:c r="D13" s="12" t="str">
        <x:v>Pooja motion satisfies morning routine</x:v>
      </x:c>
      <x:c r="E13" s="12" t="str">
        <x:v>F05, F08</x:v>
      </x:c>
      <x:c r="F13" s="12" t="str">
        <x:v>1. Inject MOTION from pooja
2. Advance simulated clock by 1300 seconds</x:v>
      </x:c>
      <x:c r="G13" s="12" t="str">
        <x:v>1. simulation.reason = evidence_present
2. incidents where {"kind": "MISSING_MORNING_ACTIVITY"} count = 0</x:v>
      </x:c>
      <x:c r="H13" s="12" t="str">
        <x:v>Automated + Manual</x:v>
      </x:c>
      <x:c r="I13" s="12" t="str">
        <x:v>v1.5.4</x:v>
      </x:c>
      <x:c r="J13" s="12" t="str">
        <x:v>PASS</x:v>
      </x:c>
      <x:c r="K13" s="12" t="str">
        <x:v>Not Run</x:v>
      </x:c>
      <x:c r="L13" s="12" t="str"/>
      <x:c r="M13" s="40" t="str"/>
    </x:row>
    <x:row r="14">
      <x:c r="A14" s="12" t="str">
        <x:v>M013</x:v>
      </x:c>
      <x:c r="B14" s="12" t="str">
        <x:v>morning-room1-not-qualifying</x:v>
      </x:c>
      <x:c r="C14" s="12" t="str">
        <x:v>morning</x:v>
      </x:c>
      <x:c r="D14" s="12" t="str">
        <x:v>Room 1 motion does not silently satisfy kitchen/pooja morning policy</x:v>
      </x:c>
      <x:c r="E14" s="12" t="str">
        <x:v>F04, F08</x:v>
      </x:c>
      <x:c r="F14" s="12" t="str">
        <x:v>1. Inject MOTION from room1
2. Advance simulated clock by 1300 seconds</x:v>
      </x:c>
      <x:c r="G14" s="12" t="str">
        <x:v>1. incidents where {"kind": "MISSING_MORNING_ACTIVITY"} count = 1</x:v>
      </x:c>
      <x:c r="H14" s="12" t="str">
        <x:v>Automated + Manual</x:v>
      </x:c>
      <x:c r="I14" s="12" t="str">
        <x:v>v1.5.4</x:v>
      </x:c>
      <x:c r="J14" s="12" t="str">
        <x:v>PASS</x:v>
      </x:c>
      <x:c r="K14" s="12" t="str">
        <x:v>Not Run</x:v>
      </x:c>
      <x:c r="L14" s="12" t="str"/>
      <x:c r="M14" s="40" t="str"/>
    </x:row>
    <x:row r="15">
      <x:c r="A15" s="12" t="str">
        <x:v>M014</x:v>
      </x:c>
      <x:c r="B15" s="12" t="str">
        <x:v>morning-door-not-qualifying</x:v>
      </x:c>
      <x:c r="C15" s="12" t="str">
        <x:v>morning</x:v>
      </x:c>
      <x:c r="D15" s="12" t="str">
        <x:v>Main-door activity does not silently satisfy kitchen/pooja morning policy</x:v>
      </x:c>
      <x:c r="E15" s="12" t="str">
        <x:v>F04, F08</x:v>
      </x:c>
      <x:c r="F15" s="12" t="str">
        <x:v>1. Inject DOOR_OPEN from entry
2. Advance simulated clock by 1300 seconds</x:v>
      </x:c>
      <x:c r="G15" s="12" t="str">
        <x:v>1. incidents where {"kind": "MISSING_MORNING_ACTIVITY"} count = 1</x:v>
      </x:c>
      <x:c r="H15" s="12" t="str">
        <x:v>Automated + Manual</x:v>
      </x:c>
      <x:c r="I15" s="12" t="str">
        <x:v>v1.5.4</x:v>
      </x:c>
      <x:c r="J15" s="12" t="str">
        <x:v>PASS</x:v>
      </x:c>
      <x:c r="K15" s="12" t="str">
        <x:v>Not Run</x:v>
      </x:c>
      <x:c r="L15" s="12" t="str"/>
      <x:c r="M15" s="40" t="str"/>
    </x:row>
    <x:row r="16">
      <x:c r="A16" s="12" t="str">
        <x:v>M015</x:v>
      </x:c>
      <x:c r="B16" s="12" t="str">
        <x:v>morning-ok-qualifies</x:v>
      </x:c>
      <x:c r="C16" s="12" t="str">
        <x:v>morning</x:v>
      </x:c>
      <x:c r="D16" s="12" t="str">
        <x:v>Explicit I am OK satisfies morning check-in independently of PIR</x:v>
      </x:c>
      <x:c r="E16" s="12" t="str">
        <x:v>F06, F08</x:v>
      </x:c>
      <x:c r="F16" s="12" t="str">
        <x:v>1. Inject OK_PRESSED from room1
2. Advance simulated clock by 1300 seconds</x:v>
      </x:c>
      <x:c r="G16" s="12" t="str">
        <x:v>1. simulation.explicit_ok is true/non-empty
2. incidents where {"kind": "MISSING_MORNING_ACTIVITY"} count = 0</x:v>
      </x:c>
      <x:c r="H16" s="12" t="str">
        <x:v>Automated + Manual</x:v>
      </x:c>
      <x:c r="I16" s="12" t="str">
        <x:v>v1.5.4</x:v>
      </x:c>
      <x:c r="J16" s="12" t="str">
        <x:v>PASS</x:v>
      </x:c>
      <x:c r="K16" s="12" t="str">
        <x:v>Not Run</x:v>
      </x:c>
      <x:c r="L16" s="12" t="str"/>
      <x:c r="M16" s="40" t="str"/>
    </x:row>
    <x:row r="17">
      <x:c r="A17" s="12" t="str">
        <x:v>M016</x:v>
      </x:c>
      <x:c r="B17" s="12" t="str">
        <x:v>morning-coverage-gap-suppresses</x:v>
      </x:c>
      <x:c r="C17" s="12" t="str">
        <x:v>morning</x:v>
      </x:c>
      <x:c r="D17" s="12" t="str">
        <x:v>Missing sensor coverage suppresses inactivity interpretation</x:v>
      </x:c>
      <x:c r="E17" s="12" t="str">
        <x:v>E01, F08</x:v>
      </x:c>
      <x:c r="F17" s="12" t="str">
        <x:v>1. {"action": "node", "enabled": false, "node": "kitchen"}
2. Advance simulated clock by 1300 seconds</x:v>
      </x:c>
      <x:c r="G17" s="12" t="str">
        <x:v>1. simulation.reason = coverage_unknown
2. incidents where {"kind": "MISSING_MORNING_ACTIVITY"} count = 0</x:v>
      </x:c>
      <x:c r="H17" s="12" t="str">
        <x:v>Automated + Manual</x:v>
      </x:c>
      <x:c r="I17" s="12" t="str">
        <x:v>v1.5.4</x:v>
      </x:c>
      <x:c r="J17" s="12" t="str">
        <x:v>PASS</x:v>
      </x:c>
      <x:c r="K17" s="12" t="str">
        <x:v>Not Run</x:v>
      </x:c>
      <x:c r="L17" s="12" t="str"/>
      <x:c r="M17" s="40" t="str"/>
    </x:row>
    <x:row r="18">
      <x:c r="A18" s="12" t="str">
        <x:v>M017</x:v>
      </x:c>
      <x:c r="B18" s="12" t="str">
        <x:v>morning-untrusted-clock-suppresses</x:v>
      </x:c>
      <x:c r="C18" s="12" t="str">
        <x:v>morning</x:v>
      </x:c>
      <x:c r="D18" s="12" t="str">
        <x:v>Untrusted clock suppresses time-based morning concern</x:v>
      </x:c>
      <x:c r="E18" s="12" t="str">
        <x:v>E06, F08</x:v>
      </x:c>
      <x:c r="F18" s="12" t="str">
        <x:v>1. Set trusted clock disabled
2. Advance simulated clock by 1300 seconds</x:v>
      </x:c>
      <x:c r="G18" s="12" t="str">
        <x:v>1. simulation.reason = time_untrusted
2. incidents where {"kind": "MISSING_MORNING_ACTIVITY"} count = 0</x:v>
      </x:c>
      <x:c r="H18" s="12" t="str">
        <x:v>Automated + Manual</x:v>
      </x:c>
      <x:c r="I18" s="12" t="str">
        <x:v>v1.5.4</x:v>
      </x:c>
      <x:c r="J18" s="12" t="str">
        <x:v>PASS</x:v>
      </x:c>
      <x:c r="K18" s="12" t="str">
        <x:v>Not Run</x:v>
      </x:c>
      <x:c r="L18" s="12" t="str"/>
      <x:c r="M18" s="40" t="str"/>
    </x:row>
    <x:row r="19">
      <x:c r="A19" s="12" t="str">
        <x:v>M018</x:v>
      </x:c>
      <x:c r="B19" s="12" t="str">
        <x:v>morning-wan-offline-replay</x:v>
      </x:c>
      <x:c r="C19" s="12" t="str">
        <x:v>morning</x:v>
      </x:c>
      <x:c r="D19" s="12" t="str">
        <x:v>Morning concern detected offline replays with original detection time</x:v>
      </x:c>
      <x:c r="E19" s="12" t="str">
        <x:v>E03, F08</x:v>
      </x:c>
      <x:c r="F19" s="12" t="str">
        <x:v>1. Set WAN disabled
2. Advance simulated clock by 1300 seconds
3. Advance simulated clock by 60 seconds
4. Set WAN enabled</x:v>
      </x:c>
      <x:c r="G19" s="12" t="str">
        <x:v>1. incidents where {"kind": "MISSING_MORNING_ACTIVITY"} count = 1
2. timeline where {"kind": "MISSING_MORNING_ACTIVITY", "occurred_at": 2300} count = 1</x:v>
      </x:c>
      <x:c r="H19" s="12" t="str">
        <x:v>Automated + Manual</x:v>
      </x:c>
      <x:c r="I19" s="12" t="str">
        <x:v>v1.5.4</x:v>
      </x:c>
      <x:c r="J19" s="12" t="str">
        <x:v>PASS</x:v>
      </x:c>
      <x:c r="K19" s="12" t="str">
        <x:v>Not Run</x:v>
      </x:c>
      <x:c r="L19" s="12" t="str"/>
      <x:c r="M19" s="40" t="str"/>
    </x:row>
    <x:row r="20">
      <x:c r="A20" s="12" t="str">
        <x:v>M019</x:v>
      </x:c>
      <x:c r="B20" s="12" t="str">
        <x:v>morning-repeat-deadline-idempotent</x:v>
      </x:c>
      <x:c r="C20" s="12" t="str">
        <x:v>morning</x:v>
      </x:c>
      <x:c r="D20" s="12" t="str">
        <x:v>Repeated deadline evaluation does not create duplicate missing incident</x:v>
      </x:c>
      <x:c r="E20" s="12" t="str">
        <x:v>E02, F08</x:v>
      </x:c>
      <x:c r="F20" s="12" t="str">
        <x:v>1. Advance simulated clock by 1300 seconds
2. {"action": "deadline"}
3. {"action": "deadline"}</x:v>
      </x:c>
      <x:c r="G20" s="12" t="str">
        <x:v>1. incidents where {"kind": "MISSING_MORNING_ACTIVITY"} count = 1</x:v>
      </x:c>
      <x:c r="H20" s="12" t="str">
        <x:v>Automated + Manual</x:v>
      </x:c>
      <x:c r="I20" s="12" t="str">
        <x:v>v1.5.4</x:v>
      </x:c>
      <x:c r="J20" s="12" t="str">
        <x:v>PASS</x:v>
      </x:c>
      <x:c r="K20" s="12" t="str">
        <x:v>Not Run</x:v>
      </x:c>
      <x:c r="L20" s="12" t="str"/>
      <x:c r="M20" s="40" t="str"/>
    </x:row>
    <x:row r="21">
      <x:c r="A21" s="12" t="str">
        <x:v>M020</x:v>
      </x:c>
      <x:c r="B21" s="12" t="str">
        <x:v>door-late-night-red</x:v>
      </x:c>
      <x:c r="C21" s="12" t="str">
        <x:v>door</x:v>
      </x:c>
      <x:c r="D21" s="12" t="str">
        <x:v>Door opening in configured quiet hours is unexpected/red</x:v>
      </x:c>
      <x:c r="E21" s="12" t="str">
        <x:v>F09</x:v>
      </x:c>
      <x:c r="F21" s="12" t="str">
        <x:v>1. Inject DOOR_OPEN from entry (late-night)</x:v>
      </x:c>
      <x:c r="G21" s="12" t="str">
        <x:v>1. home.latest_activity.details.unexpected = True
2. home.latest_activity.tone = danger</x:v>
      </x:c>
      <x:c r="H21" s="12" t="str">
        <x:v>Automated + Manual</x:v>
      </x:c>
      <x:c r="I21" s="12" t="str">
        <x:v>v1.5.4</x:v>
      </x:c>
      <x:c r="J21" s="12" t="str">
        <x:v>PASS</x:v>
      </x:c>
      <x:c r="K21" s="12" t="str">
        <x:v>Not Run</x:v>
      </x:c>
      <x:c r="L21" s="12" t="str"/>
      <x:c r="M21" s="40" t="str"/>
    </x:row>
    <x:row r="22">
      <x:c r="A22" s="12" t="str">
        <x:v>M021</x:v>
      </x:c>
      <x:c r="B22" s="12" t="str">
        <x:v>door-quiet-rule-disabled</x:v>
      </x:c>
      <x:c r="C22" s="12" t="str">
        <x:v>door</x:v>
      </x:c>
      <x:c r="D22" s="12" t="str">
        <x:v>Quiet-hour door opening is normal when the household disables that rule</x:v>
      </x:c>
      <x:c r="E22" s="12" t="str">
        <x:v>F09, E07</x:v>
      </x:c>
      <x:c r="F22" s="12" t="str">
        <x:v>1. Change household settings: {"quiet_hours_enabled": false}
2. Inject DOOR_OPEN from entry (late-night)</x:v>
      </x:c>
      <x:c r="G22" s="12" t="str">
        <x:v>1. home.latest_activity.details.unexpected = False
2. home.latest_activity.tone = positive</x:v>
      </x:c>
      <x:c r="H22" s="12" t="str">
        <x:v>Automated + Manual</x:v>
      </x:c>
      <x:c r="I22" s="12" t="str">
        <x:v>v1.5.4</x:v>
      </x:c>
      <x:c r="J22" s="12" t="str">
        <x:v>PASS</x:v>
      </x:c>
      <x:c r="K22" s="12" t="str">
        <x:v>Not Run</x:v>
      </x:c>
      <x:c r="L22" s="12" t="str"/>
      <x:c r="M22" s="40" t="str"/>
    </x:row>
    <x:row r="23">
      <x:c r="A23" s="12" t="str">
        <x:v>M022</x:v>
      </x:c>
      <x:c r="B23" s="12" t="str">
        <x:v>door-late-night-away-suppressed</x:v>
      </x:c>
      <x:c r="C23" s="12" t="str">
        <x:v>door</x:v>
      </x:c>
      <x:c r="D23" s="12" t="str">
        <x:v>Late-night door concern is suppressed in AWAY mode</x:v>
      </x:c>
      <x:c r="E23" s="12" t="str">
        <x:v>F09, F10</x:v>
      </x:c>
      <x:c r="F23" s="12" t="str">
        <x:v>1. Set home mode to AWAY
2. Inject DOOR_OPEN from entry (late-night)</x:v>
      </x:c>
      <x:c r="G23" s="12" t="str">
        <x:v>1. home.latest_activity.details.unexpected = False
2. home.mode = AWAY</x:v>
      </x:c>
      <x:c r="H23" s="12" t="str">
        <x:v>Automated + Manual</x:v>
      </x:c>
      <x:c r="I23" s="12" t="str">
        <x:v>v1.5.4</x:v>
      </x:c>
      <x:c r="J23" s="12" t="str">
        <x:v>PASS</x:v>
      </x:c>
      <x:c r="K23" s="12" t="str">
        <x:v>Not Run</x:v>
      </x:c>
      <x:c r="L23" s="12" t="str"/>
      <x:c r="M23" s="40" t="str"/>
    </x:row>
    <x:row r="24">
      <x:c r="A24" s="12" t="str">
        <x:v>M023</x:v>
      </x:c>
      <x:c r="B24" s="12" t="str">
        <x:v>door-late-night-paused-suppressed</x:v>
      </x:c>
      <x:c r="C24" s="12" t="str">
        <x:v>door</x:v>
      </x:c>
      <x:c r="D24" s="12" t="str">
        <x:v>Late-night door concern is suppressed in PAUSED mode</x:v>
      </x:c>
      <x:c r="E24" s="12" t="str">
        <x:v>F09, F10</x:v>
      </x:c>
      <x:c r="F24" s="12" t="str">
        <x:v>1. Set home mode to PAUSED
2. Inject DOOR_OPEN from entry (late-night)</x:v>
      </x:c>
      <x:c r="G24" s="12" t="str">
        <x:v>1. home.latest_activity.details.unexpected = False
2. home.mode = PAUSED</x:v>
      </x:c>
      <x:c r="H24" s="12" t="str">
        <x:v>Automated + Manual</x:v>
      </x:c>
      <x:c r="I24" s="12" t="str">
        <x:v>v1.5.4</x:v>
      </x:c>
      <x:c r="J24" s="12" t="str">
        <x:v>PASS</x:v>
      </x:c>
      <x:c r="K24" s="12" t="str">
        <x:v>Not Run</x:v>
      </x:c>
      <x:c r="L24" s="12" t="str"/>
      <x:c r="M24" s="40" t="str"/>
    </x:row>
    <x:row r="25">
      <x:c r="A25" s="12" t="str">
        <x:v>M024</x:v>
      </x:c>
      <x:c r="B25" s="12" t="str">
        <x:v>door-late-night-visitor-suppressed</x:v>
      </x:c>
      <x:c r="C25" s="12" t="str">
        <x:v>door</x:v>
      </x:c>
      <x:c r="D25" s="12" t="str">
        <x:v>Late-night door concern is suppressed in VISITOR mode</x:v>
      </x:c>
      <x:c r="E25" s="12" t="str">
        <x:v>F09, F10</x:v>
      </x:c>
      <x:c r="F25" s="12" t="str">
        <x:v>1. Set home mode to VISITOR
2. Inject DOOR_OPEN from entry (late-night)</x:v>
      </x:c>
      <x:c r="G25" s="12" t="str">
        <x:v>1. home.latest_activity.details.unexpected = False
2. home.mode = VISITOR</x:v>
      </x:c>
      <x:c r="H25" s="12" t="str">
        <x:v>Automated + Manual</x:v>
      </x:c>
      <x:c r="I25" s="12" t="str">
        <x:v>v1.5.4</x:v>
      </x:c>
      <x:c r="J25" s="12" t="str">
        <x:v>PASS</x:v>
      </x:c>
      <x:c r="K25" s="12" t="str">
        <x:v>Not Run</x:v>
      </x:c>
      <x:c r="L25" s="12" t="str"/>
      <x:c r="M25" s="40" t="str"/>
    </x:row>
    <x:row r="26">
      <x:c r="A26" s="12" t="str">
        <x:v>M025</x:v>
      </x:c>
      <x:c r="B26" s="12" t="str">
        <x:v>door-left-open-before-threshold</x:v>
      </x:c>
      <x:c r="C26" s="12" t="str">
        <x:v>door</x:v>
      </x:c>
      <x:c r="D26" s="12" t="str">
        <x:v>Door left open before threshold does not warn</x:v>
      </x:c>
      <x:c r="E26" s="12" t="str">
        <x:v>F09</x:v>
      </x:c>
      <x:c r="F26" s="12" t="str">
        <x:v>1. Inject DOOR_OPEN from entry
2. Advance simulated clock by 299 seconds</x:v>
      </x:c>
      <x:c r="G26" s="12" t="str">
        <x:v>1. timeline where {"kind": "DOOR_LEFT_OPEN"} count = 0
2. home.door_status.left_open = False</x:v>
      </x:c>
      <x:c r="H26" s="12" t="str">
        <x:v>Automated + Manual</x:v>
      </x:c>
      <x:c r="I26" s="12" t="str">
        <x:v>v1.5.4</x:v>
      </x:c>
      <x:c r="J26" s="12" t="str">
        <x:v>PASS</x:v>
      </x:c>
      <x:c r="K26" s="12" t="str">
        <x:v>Not Run</x:v>
      </x:c>
      <x:c r="L26" s="12" t="str"/>
      <x:c r="M26" s="40" t="str"/>
    </x:row>
    <x:row r="27">
      <x:c r="A27" s="12" t="str">
        <x:v>M026</x:v>
      </x:c>
      <x:c r="B27" s="12" t="str">
        <x:v>door-left-open-at-threshold</x:v>
      </x:c>
      <x:c r="C27" s="12" t="str">
        <x:v>door</x:v>
      </x:c>
      <x:c r="D27" s="12" t="str">
        <x:v>Door left open at threshold creates one red warning</x:v>
      </x:c>
      <x:c r="E27" s="12" t="str">
        <x:v>F09</x:v>
      </x:c>
      <x:c r="F27" s="12" t="str">
        <x:v>1. Inject DOOR_OPEN from entry
2. Advance simulated clock by 300 seconds</x:v>
      </x:c>
      <x:c r="G27" s="12" t="str">
        <x:v>1. timeline where {"kind": "DOOR_LEFT_OPEN", "tone": "danger"} count = 1
2. home.door_status.left_open = True</x:v>
      </x:c>
      <x:c r="H27" s="12" t="str">
        <x:v>Automated + Manual</x:v>
      </x:c>
      <x:c r="I27" s="12" t="str">
        <x:v>v1.5.4</x:v>
      </x:c>
      <x:c r="J27" s="12" t="str">
        <x:v>PASS</x:v>
      </x:c>
      <x:c r="K27" s="12" t="str">
        <x:v>Not Run</x:v>
      </x:c>
      <x:c r="L27" s="12" t="str"/>
      <x:c r="M27" s="40" t="str"/>
    </x:row>
    <x:row r="28">
      <x:c r="A28" s="12" t="str">
        <x:v>M027</x:v>
      </x:c>
      <x:c r="B28" s="12" t="str">
        <x:v>door-close-before-threshold</x:v>
      </x:c>
      <x:c r="C28" s="12" t="str">
        <x:v>door</x:v>
      </x:c>
      <x:c r="D28" s="12" t="str">
        <x:v>Door closed before threshold remains normal</x:v>
      </x:c>
      <x:c r="E28" s="12" t="str">
        <x:v>F09</x:v>
      </x:c>
      <x:c r="F28" s="12" t="str">
        <x:v>1. Inject DOOR_OPEN from entry
2. Advance simulated clock by 240 seconds
3. Inject DOOR_CLOSED from entry</x:v>
      </x:c>
      <x:c r="G28" s="12" t="str">
        <x:v>1. timeline where {"kind": "DOOR_LEFT_OPEN"} count = 0
2. home.latest_activity.kind = DOOR_CLOSED
3. home.latest_activity.tone = positive</x:v>
      </x:c>
      <x:c r="H28" s="12" t="str">
        <x:v>Automated + Manual</x:v>
      </x:c>
      <x:c r="I28" s="12" t="str">
        <x:v>v1.5.4</x:v>
      </x:c>
      <x:c r="J28" s="12" t="str">
        <x:v>PASS</x:v>
      </x:c>
      <x:c r="K28" s="12" t="str">
        <x:v>Not Run</x:v>
      </x:c>
      <x:c r="L28" s="12" t="str"/>
      <x:c r="M28" s="40" t="str"/>
    </x:row>
    <x:row r="29">
      <x:c r="A29" s="12" t="str">
        <x:v>M028</x:v>
      </x:c>
      <x:c r="B29" s="12" t="str">
        <x:v>door-close-after-warning</x:v>
      </x:c>
      <x:c r="C29" s="12" t="str">
        <x:v>door</x:v>
      </x:c>
      <x:c r="D29" s="12" t="str">
        <x:v>Closing a left-open door clears current condition and preserves duration</x:v>
      </x:c>
      <x:c r="E29" s="12" t="str">
        <x:v>F09</x:v>
      </x:c>
      <x:c r="F29" s="12" t="str">
        <x:v>1. Inject DOOR_OPEN from entry
2. Advance simulated clock by 360 seconds
3. Inject DOOR_CLOSED from entry</x:v>
      </x:c>
      <x:c r="G29" s="12" t="str">
        <x:v>1. timeline where {"kind": "DOOR_LEFT_OPEN"} count = 1
2. home.latest_activity.details.resolved_left_open = True
3. {"ge": 360, "path": "home.latest_activity.details.open_duration_s"}
4. home.door_status.state = CLOSED</x:v>
      </x:c>
      <x:c r="H29" s="12" t="str">
        <x:v>Automated + Manual</x:v>
      </x:c>
      <x:c r="I29" s="12" t="str">
        <x:v>v1.5.4</x:v>
      </x:c>
      <x:c r="J29" s="12" t="str">
        <x:v>PASS</x:v>
      </x:c>
      <x:c r="K29" s="12" t="str">
        <x:v>Not Run</x:v>
      </x:c>
      <x:c r="L29" s="12" t="str"/>
      <x:c r="M29" s="40" t="str"/>
    </x:row>
    <x:row r="30">
      <x:c r="A30" s="12" t="str">
        <x:v>M029</x:v>
      </x:c>
      <x:c r="B30" s="12" t="str">
        <x:v>door-close-without-open</x:v>
      </x:c>
      <x:c r="C30" s="12" t="str">
        <x:v>door</x:v>
      </x:c>
      <x:c r="D30" s="12" t="str">
        <x:v>Standalone close state does not invent a left-open warning</x:v>
      </x:c>
      <x:c r="E30" s="12" t="str">
        <x:v>F09</x:v>
      </x:c>
      <x:c r="F30" s="12" t="str">
        <x:v>1. Inject DOOR_CLOSED from entry</x:v>
      </x:c>
      <x:c r="G30" s="12" t="str">
        <x:v>1. timeline where {"kind": "DOOR_LEFT_OPEN"} count = 0
2. home.door_status.state = CLOSED</x:v>
      </x:c>
      <x:c r="H30" s="12" t="str">
        <x:v>Automated + Manual</x:v>
      </x:c>
      <x:c r="I30" s="12" t="str">
        <x:v>v1.5.4</x:v>
      </x:c>
      <x:c r="J30" s="12" t="str">
        <x:v>PASS</x:v>
      </x:c>
      <x:c r="K30" s="12" t="str">
        <x:v>Not Run</x:v>
      </x:c>
      <x:c r="L30" s="12" t="str"/>
      <x:c r="M30" s="40" t="str"/>
    </x:row>
    <x:row r="31">
      <x:c r="A31" s="12" t="str">
        <x:v>M030</x:v>
      </x:c>
      <x:c r="B31" s="12" t="str">
        <x:v>door-configurable-threshold</x:v>
      </x:c>
      <x:c r="C31" s="12" t="str">
        <x:v>door</x:v>
      </x:c>
      <x:c r="D31" s="12" t="str">
        <x:v>Door-left-open threshold follows household configuration</x:v>
      </x:c>
      <x:c r="E31" s="12" t="str">
        <x:v>F09, E07</x:v>
      </x:c>
      <x:c r="F31" s="12" t="str">
        <x:v>1. Change household settings: {"door_open_timeout_seconds": 120}
2. Inject DOOR_OPEN from entry
3. Advance simulated clock by 119 seconds
4. Advance simulated clock by 1 seconds</x:v>
      </x:c>
      <x:c r="G31" s="12" t="str">
        <x:v>1. timeline where {"kind": "DOOR_LEFT_OPEN"} count = 1
2. home.door_status.left_open = True</x:v>
      </x:c>
      <x:c r="H31" s="12" t="str">
        <x:v>Automated + Manual</x:v>
      </x:c>
      <x:c r="I31" s="12" t="str">
        <x:v>v1.5.4</x:v>
      </x:c>
      <x:c r="J31" s="12" t="str">
        <x:v>PASS</x:v>
      </x:c>
      <x:c r="K31" s="12" t="str">
        <x:v>Not Run</x:v>
      </x:c>
      <x:c r="L31" s="12" t="str"/>
      <x:c r="M31" s="40" t="str"/>
    </x:row>
    <x:row r="32">
      <x:c r="A32" s="12" t="str">
        <x:v>M031</x:v>
      </x:c>
      <x:c r="B32" s="12" t="str">
        <x:v>inactivity-before-threshold</x:v>
      </x:c>
      <x:c r="C32" s="12" t="str">
        <x:v>inactivity</x:v>
      </x:c>
      <x:c r="D32" s="12" t="str">
        <x:v>No activity before configured threshold does not alert</x:v>
      </x:c>
      <x:c r="E32" s="12" t="str">
        <x:v>F11</x:v>
      </x:c>
      <x:c r="F32" s="12" t="str">
        <x:v>1. Change household settings: {"daytime_inactivity_seconds": 300}
2. Set local minute to 600
3. Advance simulated clock by 299 seconds</x:v>
      </x:c>
      <x:c r="G32" s="12" t="str">
        <x:v>1. timeline where {"kind": "DAYTIME_INACTIVITY"} count = 0
2. incidents where {"kind": "DAYTIME_INACTIVITY"} count = 0</x:v>
      </x:c>
      <x:c r="H32" s="12" t="str">
        <x:v>Automated + Manual</x:v>
      </x:c>
      <x:c r="I32" s="12" t="str">
        <x:v>v1.5.4</x:v>
      </x:c>
      <x:c r="J32" s="12" t="str">
        <x:v>PASS</x:v>
      </x:c>
      <x:c r="K32" s="12" t="str">
        <x:v>Not Run</x:v>
      </x:c>
      <x:c r="L32" s="12" t="str"/>
      <x:c r="M32" s="40" t="str"/>
    </x:row>
    <x:row r="33">
      <x:c r="A33" s="12" t="str">
        <x:v>M032</x:v>
      </x:c>
      <x:c r="B33" s="12" t="str">
        <x:v>inactivity-at-threshold</x:v>
      </x:c>
      <x:c r="C33" s="12" t="str">
        <x:v>inactivity</x:v>
      </x:c>
      <x:c r="D33" s="12" t="str">
        <x:v>No activity at configured threshold opens check-in workflow</x:v>
      </x:c>
      <x:c r="E33" s="12" t="str">
        <x:v>F11, F12</x:v>
      </x:c>
      <x:c r="F33" s="12" t="str">
        <x:v>1. Change household settings: {"daytime_inactivity_seconds": 300}
2. Set local minute to 600
3. Advance simulated clock by 300 seconds</x:v>
      </x:c>
      <x:c r="G33" s="12" t="str">
        <x:v>1. timeline where {"kind": "DAYTIME_INACTIVITY", "tone": "danger"} count = 1
2. incidents where {"kind": "DAYTIME_INACTIVITY", "state": "OPEN"} count = 1
3. notifications where {} count = 2</x:v>
      </x:c>
      <x:c r="H33" s="12" t="str">
        <x:v>Automated + Manual</x:v>
      </x:c>
      <x:c r="I33" s="12" t="str">
        <x:v>v1.5.4</x:v>
      </x:c>
      <x:c r="J33" s="12" t="str">
        <x:v>PASS</x:v>
      </x:c>
      <x:c r="K33" s="12" t="str">
        <x:v>Not Run</x:v>
      </x:c>
      <x:c r="L33" s="12" t="str"/>
      <x:c r="M33" s="40" t="str"/>
    </x:row>
    <x:row r="34">
      <x:c r="A34" s="12" t="str">
        <x:v>M033</x:v>
      </x:c>
      <x:c r="B34" s="12" t="str">
        <x:v>inactivity-motion-rearms</x:v>
      </x:c>
      <x:c r="C34" s="12" t="str">
        <x:v>inactivity</x:v>
      </x:c>
      <x:c r="D34" s="12" t="str">
        <x:v>Activity resets daytime inactivity timer</x:v>
      </x:c>
      <x:c r="E34" s="12" t="str">
        <x:v>F05</x:v>
      </x:c>
      <x:c r="F34" s="12" t="str">
        <x:v>1. Change household settings: {"daytime_inactivity_seconds": 300}
2. Set local minute to 600
3. Advance simulated clock by 240 seconds
4. Inject MOTION from room1
5. Advance simulated clock by 240 seconds</x:v>
      </x:c>
      <x:c r="G34" s="12" t="str">
        <x:v>1. timeline where {"kind": "DAYTIME_INACTIVITY"} count = 0</x:v>
      </x:c>
      <x:c r="H34" s="12" t="str">
        <x:v>Automated + Manual</x:v>
      </x:c>
      <x:c r="I34" s="12" t="str">
        <x:v>v1.5.4</x:v>
      </x:c>
      <x:c r="J34" s="12" t="str">
        <x:v>PASS</x:v>
      </x:c>
      <x:c r="K34" s="12" t="str">
        <x:v>Not Run</x:v>
      </x:c>
      <x:c r="L34" s="12" t="str"/>
      <x:c r="M34" s="40" t="str"/>
    </x:row>
    <x:row r="35">
      <x:c r="A35" s="12" t="str">
        <x:v>M034</x:v>
      </x:c>
      <x:c r="B35" s="12" t="str">
        <x:v>inactivity-disabled</x:v>
      </x:c>
      <x:c r="C35" s="12" t="str">
        <x:v>inactivity</x:v>
      </x:c>
      <x:c r="D35" s="12" t="str">
        <x:v>Disabled daytime inactivity policy produces no concern</x:v>
      </x:c>
      <x:c r="E35" s="12" t="str">
        <x:v>E07</x:v>
      </x:c>
      <x:c r="F35" s="12" t="str">
        <x:v>1. Change household settings: {"daytime_inactivity_enabled": false, "daytime_inactivity_seconds": 300}
2. Set local minute to 600
3. Advance simulated clock by 600 seconds</x:v>
      </x:c>
      <x:c r="G35" s="12" t="str">
        <x:v>1. timeline where {"kind": "DAYTIME_INACTIVITY"} count = 0</x:v>
      </x:c>
      <x:c r="H35" s="12" t="str">
        <x:v>Automated + Manual</x:v>
      </x:c>
      <x:c r="I35" s="12" t="str">
        <x:v>v1.5.4</x:v>
      </x:c>
      <x:c r="J35" s="12" t="str">
        <x:v>PASS</x:v>
      </x:c>
      <x:c r="K35" s="12" t="str">
        <x:v>Not Run</x:v>
      </x:c>
      <x:c r="L35" s="12" t="str"/>
      <x:c r="M35" s="40" t="str"/>
    </x:row>
    <x:row r="36">
      <x:c r="A36" s="12" t="str">
        <x:v>M035</x:v>
      </x:c>
      <x:c r="B36" s="12" t="str">
        <x:v>inactivity-away-suppressed</x:v>
      </x:c>
      <x:c r="C36" s="12" t="str">
        <x:v>inactivity</x:v>
      </x:c>
      <x:c r="D36" s="12" t="str">
        <x:v>Daytime inactivity is suppressed in AWAY mode</x:v>
      </x:c>
      <x:c r="E36" s="12" t="str">
        <x:v>F10</x:v>
      </x:c>
      <x:c r="F36" s="12" t="str">
        <x:v>1. Change household settings: {"daytime_inactivity_seconds": 300}
2. Set local minute to 600
3. Set home mode to AWAY
4. Advance simulated clock by 300 seconds</x:v>
      </x:c>
      <x:c r="G36" s="12" t="str">
        <x:v>1. timeline where {"kind": "DAYTIME_INACTIVITY"} count = 0
2. home.mode = AWAY</x:v>
      </x:c>
      <x:c r="H36" s="12" t="str">
        <x:v>Automated + Manual</x:v>
      </x:c>
      <x:c r="I36" s="12" t="str">
        <x:v>v1.5.4</x:v>
      </x:c>
      <x:c r="J36" s="12" t="str">
        <x:v>PASS</x:v>
      </x:c>
      <x:c r="K36" s="12" t="str">
        <x:v>Not Run</x:v>
      </x:c>
      <x:c r="L36" s="12" t="str"/>
      <x:c r="M36" s="40" t="str"/>
    </x:row>
    <x:row r="37">
      <x:c r="A37" s="12" t="str">
        <x:v>M036</x:v>
      </x:c>
      <x:c r="B37" s="12" t="str">
        <x:v>inactivity-paused-suppressed</x:v>
      </x:c>
      <x:c r="C37" s="12" t="str">
        <x:v>inactivity</x:v>
      </x:c>
      <x:c r="D37" s="12" t="str">
        <x:v>Daytime inactivity is suppressed in PAUSED mode</x:v>
      </x:c>
      <x:c r="E37" s="12" t="str">
        <x:v>F10</x:v>
      </x:c>
      <x:c r="F37" s="12" t="str">
        <x:v>1. Change household settings: {"daytime_inactivity_seconds": 300}
2. Set local minute to 600
3. Set home mode to PAUSED
4. Advance simulated clock by 300 seconds</x:v>
      </x:c>
      <x:c r="G37" s="12" t="str">
        <x:v>1. timeline where {"kind": "DAYTIME_INACTIVITY"} count = 0
2. home.mode = PAUSED</x:v>
      </x:c>
      <x:c r="H37" s="12" t="str">
        <x:v>Automated + Manual</x:v>
      </x:c>
      <x:c r="I37" s="12" t="str">
        <x:v>v1.5.4</x:v>
      </x:c>
      <x:c r="J37" s="12" t="str">
        <x:v>PASS</x:v>
      </x:c>
      <x:c r="K37" s="12" t="str">
        <x:v>Not Run</x:v>
      </x:c>
      <x:c r="L37" s="12" t="str"/>
      <x:c r="M37" s="40" t="str"/>
    </x:row>
    <x:row r="38">
      <x:c r="A38" s="12" t="str">
        <x:v>M037</x:v>
      </x:c>
      <x:c r="B38" s="12" t="str">
        <x:v>inactivity-visitor-suppressed</x:v>
      </x:c>
      <x:c r="C38" s="12" t="str">
        <x:v>inactivity</x:v>
      </x:c>
      <x:c r="D38" s="12" t="str">
        <x:v>Daytime inactivity is suppressed in VISITOR mode</x:v>
      </x:c>
      <x:c r="E38" s="12" t="str">
        <x:v>F10</x:v>
      </x:c>
      <x:c r="F38" s="12" t="str">
        <x:v>1. Change household settings: {"daytime_inactivity_seconds": 300}
2. Set local minute to 600
3. Set home mode to VISITOR
4. Advance simulated clock by 300 seconds</x:v>
      </x:c>
      <x:c r="G38" s="12" t="str">
        <x:v>1. timeline where {"kind": "DAYTIME_INACTIVITY"} count = 0
2. home.mode = VISITOR</x:v>
      </x:c>
      <x:c r="H38" s="12" t="str">
        <x:v>Automated + Manual</x:v>
      </x:c>
      <x:c r="I38" s="12" t="str">
        <x:v>v1.5.4</x:v>
      </x:c>
      <x:c r="J38" s="12" t="str">
        <x:v>PASS</x:v>
      </x:c>
      <x:c r="K38" s="12" t="str">
        <x:v>Not Run</x:v>
      </x:c>
      <x:c r="L38" s="12" t="str"/>
      <x:c r="M38" s="40" t="str"/>
    </x:row>
    <x:row r="39">
      <x:c r="A39" s="12" t="str">
        <x:v>M038</x:v>
      </x:c>
      <x:c r="B39" s="12" t="str">
        <x:v>inactivity-coverage-gap-suppressed</x:v>
      </x:c>
      <x:c r="C39" s="12" t="str">
        <x:v>inactivity</x:v>
      </x:c>
      <x:c r="D39" s="12" t="str">
        <x:v>Daytime inactivity is suppressed when observation coverage is unavailable</x:v>
      </x:c>
      <x:c r="E39" s="12" t="str">
        <x:v>E01</x:v>
      </x:c>
      <x:c r="F39" s="12" t="str">
        <x:v>1. Change household settings: {"daytime_inactivity_seconds": 300}
2. Set local minute to 600
3. {"action": "node", "enabled": false, "node": "kitchen"}
4. Advance simulated clock by 300 seconds</x:v>
      </x:c>
      <x:c r="G39" s="12" t="str">
        <x:v>1. timeline where {"kind": "DAYTIME_INACTIVITY"} count = 0</x:v>
      </x:c>
      <x:c r="H39" s="12" t="str">
        <x:v>Automated + Manual</x:v>
      </x:c>
      <x:c r="I39" s="12" t="str">
        <x:v>v1.5.4</x:v>
      </x:c>
      <x:c r="J39" s="12" t="str">
        <x:v>PASS</x:v>
      </x:c>
      <x:c r="K39" s="12" t="str">
        <x:v>Not Run</x:v>
      </x:c>
      <x:c r="L39" s="12" t="str"/>
      <x:c r="M39" s="40" t="str"/>
    </x:row>
    <x:row r="40">
      <x:c r="A40" s="12" t="str">
        <x:v>M039</x:v>
      </x:c>
      <x:c r="B40" s="12" t="str">
        <x:v>inactivity-clock-untrusted-suppressed</x:v>
      </x:c>
      <x:c r="C40" s="12" t="str">
        <x:v>inactivity</x:v>
      </x:c>
      <x:c r="D40" s="12" t="str">
        <x:v>Daytime inactivity is suppressed when time is untrusted</x:v>
      </x:c>
      <x:c r="E40" s="12" t="str">
        <x:v>E06</x:v>
      </x:c>
      <x:c r="F40" s="12" t="str">
        <x:v>1. Change household settings: {"daytime_inactivity_seconds": 300}
2. Set local minute to 600
3. Set trusted clock disabled
4. Advance simulated clock by 300 seconds</x:v>
      </x:c>
      <x:c r="G40" s="12" t="str">
        <x:v>1. timeline where {"kind": "DAYTIME_INACTIVITY"} count = 0</x:v>
      </x:c>
      <x:c r="H40" s="12" t="str">
        <x:v>Automated + Manual</x:v>
      </x:c>
      <x:c r="I40" s="12" t="str">
        <x:v>v1.5.4</x:v>
      </x:c>
      <x:c r="J40" s="12" t="str">
        <x:v>PASS</x:v>
      </x:c>
      <x:c r="K40" s="12" t="str">
        <x:v>Not Run</x:v>
      </x:c>
      <x:c r="L40" s="12" t="str"/>
      <x:c r="M40" s="40" t="str"/>
    </x:row>
    <x:row r="41">
      <x:c r="A41" s="12" t="str">
        <x:v>M040</x:v>
      </x:c>
      <x:c r="B41" s="12" t="str">
        <x:v>inactivity-outside-daytime-window</x:v>
      </x:c>
      <x:c r="C41" s="12" t="str">
        <x:v>inactivity</x:v>
      </x:c>
      <x:c r="D41" s="12" t="str">
        <x:v>Daytime inactivity does not fire outside configured daytime window</x:v>
      </x:c>
      <x:c r="E41" s="12" t="str">
        <x:v>E06</x:v>
      </x:c>
      <x:c r="F41" s="12" t="str">
        <x:v>1. Change household settings: {"daytime_inactivity_seconds": 300}
2. Set local minute to 1380
3. Advance simulated clock by 300 seconds</x:v>
      </x:c>
      <x:c r="G41" s="12" t="str">
        <x:v>1. timeline where {"kind": "DAYTIME_INACTIVITY"} count = 0</x:v>
      </x:c>
      <x:c r="H41" s="12" t="str">
        <x:v>Automated + Manual</x:v>
      </x:c>
      <x:c r="I41" s="12" t="str">
        <x:v>v1.5.4</x:v>
      </x:c>
      <x:c r="J41" s="12" t="str">
        <x:v>PASS</x:v>
      </x:c>
      <x:c r="K41" s="12" t="str">
        <x:v>Not Run</x:v>
      </x:c>
      <x:c r="L41" s="12" t="str"/>
      <x:c r="M41" s="40" t="str"/>
    </x:row>
    <x:row r="42">
      <x:c r="A42" s="12" t="str">
        <x:v>M041</x:v>
      </x:c>
      <x:c r="B42" s="12" t="str">
        <x:v>wan-loss-local-progress</x:v>
      </x:c>
      <x:c r="C42" s="12" t="str">
        <x:v>transport</x:v>
      </x:c>
      <x:c r="D42" s="12" t="str">
        <x:v>WAN loss keeps local evidence while backend view is stale</x:v>
      </x:c>
      <x:c r="E42" s="12" t="str">
        <x:v>E03, E04</x:v>
      </x:c>
      <x:c r="F42" s="12" t="str">
        <x:v>1. Set WAN disabled
2. Inject MOTION from kitchen
3. Advance simulated clock by 240 seconds</x:v>
      </x:c>
      <x:c r="G42" s="12" t="str">
        <x:v>1. simulation.activity_seen is true/non-empty
2. {"gt": 0, "path": "simulation.pending_cloud"}
3. home.hub_reachable = False
4. timeline where {"kind": "MOTION"} count = 0</x:v>
      </x:c>
      <x:c r="H42" s="12" t="str">
        <x:v>Automated + Manual</x:v>
      </x:c>
      <x:c r="I42" s="12" t="str">
        <x:v>v1.5.4</x:v>
      </x:c>
      <x:c r="J42" s="12" t="str">
        <x:v>PASS</x:v>
      </x:c>
      <x:c r="K42" s="12" t="str">
        <x:v>Not Run</x:v>
      </x:c>
      <x:c r="L42" s="12" t="str"/>
      <x:c r="M42" s="40" t="str"/>
    </x:row>
    <x:row r="43">
      <x:c r="A43" s="12" t="str">
        <x:v>M042</x:v>
      </x:c>
      <x:c r="B43" s="12" t="str">
        <x:v>wan-reconnect-replays</x:v>
      </x:c>
      <x:c r="C43" s="12" t="str">
        <x:v>transport</x:v>
      </x:c>
      <x:c r="D43" s="12" t="str">
        <x:v>WAN reconnect replays pending event exactly once</x:v>
      </x:c>
      <x:c r="E43" s="12" t="str">
        <x:v>E02, E03</x:v>
      </x:c>
      <x:c r="F43" s="12" t="str">
        <x:v>1. Set WAN disabled
2. Inject MOTION from kitchen
3. Set WAN enabled</x:v>
      </x:c>
      <x:c r="G43" s="12" t="str">
        <x:v>1. simulation.pending_cloud = 0
2. timeline where {"kind": "MOTION"} count = 1</x:v>
      </x:c>
      <x:c r="H43" s="12" t="str">
        <x:v>Automated + Manual</x:v>
      </x:c>
      <x:c r="I43" s="12" t="str">
        <x:v>v1.5.4</x:v>
      </x:c>
      <x:c r="J43" s="12" t="str">
        <x:v>PASS</x:v>
      </x:c>
      <x:c r="K43" s="12" t="str">
        <x:v>Not Run</x:v>
      </x:c>
      <x:c r="L43" s="12" t="str"/>
      <x:c r="M43" s="40" t="str"/>
    </x:row>
    <x:row r="44">
      <x:c r="A44" s="12" t="str">
        <x:v>M043</x:v>
      </x:c>
      <x:c r="B44" s="12" t="str">
        <x:v>node-link-replay</x:v>
      </x:c>
      <x:c r="C44" s="12" t="str">
        <x:v>transport</x:v>
      </x:c>
      <x:c r="D44" s="12" t="str">
        <x:v>Node link recovery replays retained event exactly once</x:v>
      </x:c>
      <x:c r="E44" s="12" t="str">
        <x:v>E02</x:v>
      </x:c>
      <x:c r="F44" s="12" t="str">
        <x:v>1. {"action": "node", "enabled": false, "node": "kitchen"}
2. Inject MOTION from kitchen
3. {"action": "node", "enabled": true, "node": "kitchen"}</x:v>
      </x:c>
      <x:c r="G44" s="12" t="str">
        <x:v>1. timeline where {"kind": "MOTION"} count = 1
2. simulation.nodes.1.retained = 0</x:v>
      </x:c>
      <x:c r="H44" s="12" t="str">
        <x:v>Automated + Manual</x:v>
      </x:c>
      <x:c r="I44" s="12" t="str">
        <x:v>v1.5.4</x:v>
      </x:c>
      <x:c r="J44" s="12" t="str">
        <x:v>PASS</x:v>
      </x:c>
      <x:c r="K44" s="12" t="str">
        <x:v>Not Run</x:v>
      </x:c>
      <x:c r="L44" s="12" t="str"/>
      <x:c r="M44" s="40" t="str"/>
    </x:row>
    <x:row r="45">
      <x:c r="A45" s="12" t="str">
        <x:v>M044</x:v>
      </x:c>
      <x:c r="B45" s="12" t="str">
        <x:v>duplicate-event-backend-idempotent</x:v>
      </x:c>
      <x:c r="C45" s="12" t="str">
        <x:v>transport</x:v>
      </x:c>
      <x:c r="D45" s="12" t="str">
        <x:v>Duplicate radio replay is stored once by backend</x:v>
      </x:c>
      <x:c r="E45" s="12" t="str">
        <x:v>E02</x:v>
      </x:c>
      <x:c r="F45" s="12" t="str">
        <x:v>1. Inject MOTION from kitchen
2. {"action": "duplicate"}</x:v>
      </x:c>
      <x:c r="G45" s="12" t="str">
        <x:v>1. timeline where {"kind": "MOTION"} count = 1</x:v>
      </x:c>
      <x:c r="H45" s="12" t="str">
        <x:v>Automated + Manual</x:v>
      </x:c>
      <x:c r="I45" s="12" t="str">
        <x:v>v1.5.4</x:v>
      </x:c>
      <x:c r="J45" s="12" t="str">
        <x:v>PASS</x:v>
      </x:c>
      <x:c r="K45" s="12" t="str">
        <x:v>Not Run</x:v>
      </x:c>
      <x:c r="L45" s="12" t="str"/>
      <x:c r="M45" s="40" t="str"/>
    </x:row>
    <x:row r="46">
      <x:c r="A46" s="12" t="str">
        <x:v>M045</x:v>
      </x:c>
      <x:c r="B46" s="12" t="str">
        <x:v>call-family-offline-replay</x:v>
      </x:c>
      <x:c r="C46" s="12" t="str">
        <x:v>transport</x:v>
      </x:c>
      <x:c r="D46" s="12" t="str">
        <x:v>Call Family survives WAN outage and opens one incident on reconnect</x:v>
      </x:c>
      <x:c r="E46" s="12" t="str">
        <x:v>E03, F07</x:v>
      </x:c>
      <x:c r="F46" s="12" t="str">
        <x:v>1. Set WAN disabled
2. Inject CALL_FAMILY from room1
3. Set WAN enabled</x:v>
      </x:c>
      <x:c r="G46" s="12" t="str">
        <x:v>1. incidents where {"kind": "CALL_FAMILY"} count = 1</x:v>
      </x:c>
      <x:c r="H46" s="12" t="str">
        <x:v>Automated + Manual</x:v>
      </x:c>
      <x:c r="I46" s="12" t="str">
        <x:v>v1.5.4</x:v>
      </x:c>
      <x:c r="J46" s="12" t="str">
        <x:v>PASS</x:v>
      </x:c>
      <x:c r="K46" s="12" t="str">
        <x:v>Not Run</x:v>
      </x:c>
      <x:c r="L46" s="12" t="str"/>
      <x:c r="M46" s="40" t="str"/>
    </x:row>
    <x:row r="47">
      <x:c r="A47" s="12" t="str">
        <x:v>M046</x:v>
      </x:c>
      <x:c r="B47" s="12" t="str">
        <x:v>provider-acceptance-not-human-ack</x:v>
      </x:c>
      <x:c r="C47" s="12" t="str">
        <x:v>caregiver</x:v>
      </x:c>
      <x:c r="D47" s="12" t="str">
        <x:v>Notification provider acceptance does not acknowledge incident</x:v>
      </x:c>
      <x:c r="E47" s="12" t="str">
        <x:v>F12, F13</x:v>
      </x:c>
      <x:c r="F47" s="12" t="str">
        <x:v>1. Advance simulated clock by 1300 seconds
2. {"action": "notify"}</x:v>
      </x:c>
      <x:c r="G47" s="12" t="str">
        <x:v>1. incidents where {"kind": "MISSING_MORNING_ACTIVITY", "state": "OPEN"} count = 1
2. notifications where {"state": "PROVIDER_ACCEPTED"} count &gt;= 1</x:v>
      </x:c>
      <x:c r="H47" s="12" t="str">
        <x:v>Automated + Manual</x:v>
      </x:c>
      <x:c r="I47" s="12" t="str">
        <x:v>v1.5.4</x:v>
      </x:c>
      <x:c r="J47" s="12" t="str">
        <x:v>PASS</x:v>
      </x:c>
      <x:c r="K47" s="12" t="str">
        <x:v>Not Run</x:v>
      </x:c>
      <x:c r="L47" s="12" t="str"/>
      <x:c r="M47" s="40" t="str"/>
    </x:row>
    <x:row r="48">
      <x:c r="A48" s="12" t="str">
        <x:v>M047</x:v>
      </x:c>
      <x:c r="B48" s="12" t="str">
        <x:v>caregiver-lifecycle</x:v>
      </x:c>
      <x:c r="C48" s="12" t="str">
        <x:v>caregiver</x:v>
      </x:c>
      <x:c r="D48" s="12" t="str">
        <x:v>Claim acknowledge resolve closes incident and cancels pending routes</x:v>
      </x:c>
      <x:c r="E48" s="12" t="str">
        <x:v>F12, F13</x:v>
      </x:c>
      <x:c r="F48" s="12" t="str">
        <x:v>1. Advance simulated clock by 1300 seconds
2. {"as": "iid", "capture": "first_incident"}
3. {"action": "claim", "incident_id": "$iid"}
4. {"action": "acknowledge", "incident_id": "$iid"}
5. {"action": "resolve", "incident_id": "$iid"}</x:v>
      </x:c>
      <x:c r="G48" s="12" t="str">
        <x:v>1. incidents where {"state": "RESOLVED"} count = 1
2. notifications where {"state": "CANCELLED"} count = 2</x:v>
      </x:c>
      <x:c r="H48" s="12" t="str">
        <x:v>Automated + Manual</x:v>
      </x:c>
      <x:c r="I48" s="12" t="str">
        <x:v>v1.5.4</x:v>
      </x:c>
      <x:c r="J48" s="12" t="str">
        <x:v>PASS</x:v>
      </x:c>
      <x:c r="K48" s="12" t="str">
        <x:v>Not Run</x:v>
      </x:c>
      <x:c r="L48" s="12" t="str"/>
      <x:c r="M48" s="40" t="str"/>
    </x:row>
    <x:row r="49">
      <x:c r="A49" s="12" t="str">
        <x:v>M048</x:v>
      </x:c>
      <x:c r="B49" s="12" t="str">
        <x:v>settings-version-increments</x:v>
      </x:c>
      <x:c r="C49" s="12" t="str">
        <x:v>configuration</x:v>
      </x:c>
      <x:c r="D49" s="12" t="str">
        <x:v>Changing household policy creates a new config version</x:v>
      </x:c>
      <x:c r="E49" s="12" t="str">
        <x:v>E07</x:v>
      </x:c>
      <x:c r="F49" s="12" t="str">
        <x:v>1. Change household settings: {"door_open_timeout_seconds": 180}</x:v>
      </x:c>
      <x:c r="G49" s="12" t="str">
        <x:v>1. {"ge": 2, "path": "settings.config_version"}
2. settings.door_open_timeout_seconds = 180</x:v>
      </x:c>
      <x:c r="H49" s="12" t="str">
        <x:v>Automated + Manual</x:v>
      </x:c>
      <x:c r="I49" s="12" t="str">
        <x:v>v1.5.4</x:v>
      </x:c>
      <x:c r="J49" s="12" t="str">
        <x:v>PASS</x:v>
      </x:c>
      <x:c r="K49" s="12" t="str">
        <x:v>Not Run</x:v>
      </x:c>
      <x:c r="L49" s="12" t="str"/>
      <x:c r="M49" s="40" t="str"/>
    </x:row>
    <x:row r="50">
      <x:c r="A50" s="12" t="str">
        <x:v>M049</x:v>
      </x:c>
      <x:c r="B50" s="12" t="str">
        <x:v>invalid-privacy-event-rejected</x:v>
      </x:c>
      <x:c r="C50" s="12" t="str">
        <x:v>negative</x:v>
      </x:c>
      <x:c r="D50" s="12" t="str">
        <x:v>User-facing privacy event is not accepted by simulator controls</x:v>
      </x:c>
      <x:c r="E50" s="12" t="str">
        <x:v>F02</x:v>
      </x:c>
      <x:c r="F50" s="12" t="str">
        <x:v>1. Inject PRIVACY_ON from room1</x:v>
      </x:c>
      <x:c r="G50" s="12" t="str"/>
      <x:c r="H50" s="12" t="str">
        <x:v>Automated + Manual</x:v>
      </x:c>
      <x:c r="I50" s="12" t="str">
        <x:v>v1.5.4</x:v>
      </x:c>
      <x:c r="J50" s="12" t="str">
        <x:v>PASS</x:v>
      </x:c>
      <x:c r="K50" s="12" t="str">
        <x:v>Not Run</x:v>
      </x:c>
      <x:c r="L50" s="12" t="str"/>
      <x:c r="M50" s="40" t="str"/>
    </x:row>
    <x:row r="51">
      <x:c r="A51" s="12" t="str">
        <x:v>M050</x:v>
      </x:c>
      <x:c r="B51" s="12" t="str">
        <x:v>invalid-kitchen-door-event-rejected</x:v>
      </x:c>
      <x:c r="C51" s="12" t="str">
        <x:v>negative</x:v>
      </x:c>
      <x:c r="D51" s="12" t="str">
        <x:v>Sensor capability mismatch is rejected</x:v>
      </x:c>
      <x:c r="E51" s="12" t="str">
        <x:v>E07</x:v>
      </x:c>
      <x:c r="F51" s="12" t="str">
        <x:v>1. Inject DOOR_OPEN from kitchen</x:v>
      </x:c>
      <x:c r="G51" s="12" t="str"/>
      <x:c r="H51" s="12" t="str">
        <x:v>Automated + Manual</x:v>
      </x:c>
      <x:c r="I51" s="12" t="str">
        <x:v>v1.5.4</x:v>
      </x:c>
      <x:c r="J51" s="12" t="str">
        <x:v>PASS</x:v>
      </x:c>
      <x:c r="K51" s="12" t="str">
        <x:v>Not Run</x:v>
      </x:c>
      <x:c r="L51" s="12" t="str"/>
      <x:c r="M51" s="40" t="str"/>
    </x:row>
    <x:row r="52">
      <x:c r="A52" s="12" t="str">
        <x:v>M051</x:v>
      </x:c>
      <x:c r="B52" s="12" t="str">
        <x:v>invalid-entry-ok-event-rejected</x:v>
      </x:c>
      <x:c r="C52" s="12" t="str">
        <x:v>negative</x:v>
      </x:c>
      <x:c r="D52" s="12" t="str">
        <x:v>Resident button event cannot be injected through door sensor</x:v>
      </x:c>
      <x:c r="E52" s="12" t="str">
        <x:v>E07</x:v>
      </x:c>
      <x:c r="F52" s="12" t="str">
        <x:v>1. Inject OK_PRESSED from entry</x:v>
      </x:c>
      <x:c r="G52" s="12" t="str"/>
      <x:c r="H52" s="12" t="str">
        <x:v>Automated + Manual</x:v>
      </x:c>
      <x:c r="I52" s="12" t="str">
        <x:v>v1.5.4</x:v>
      </x:c>
      <x:c r="J52" s="12" t="str">
        <x:v>PASS</x:v>
      </x:c>
      <x:c r="K52" s="12" t="str">
        <x:v>Not Run</x:v>
      </x:c>
      <x:c r="L52" s="12" t="str"/>
      <x:c r="M52" s="40" t="str"/>
    </x:row>
    <x:row r="53">
      <x:c r="A53" s="12" t="str">
        <x:v>M052</x:v>
      </x:c>
      <x:c r="B53" s="12" t="str">
        <x:v>invalid-advance-rejected</x:v>
      </x:c>
      <x:c r="C53" s="12" t="str">
        <x:v>negative</x:v>
      </x:c>
      <x:c r="D53" s="12" t="str">
        <x:v>Negative simulated time advance is rejected</x:v>
      </x:c>
      <x:c r="E53" s="12" t="str">
        <x:v>NFR-08</x:v>
      </x:c>
      <x:c r="F53" s="12" t="str">
        <x:v>1. Advance simulated clock by -1 seconds</x:v>
      </x:c>
      <x:c r="G53" s="12" t="str"/>
      <x:c r="H53" s="12" t="str">
        <x:v>Automated + Manual</x:v>
      </x:c>
      <x:c r="I53" s="12" t="str">
        <x:v>v1.5.4</x:v>
      </x:c>
      <x:c r="J53" s="12" t="str">
        <x:v>PASS</x:v>
      </x:c>
      <x:c r="K53" s="12" t="str">
        <x:v>Not Run</x:v>
      </x:c>
      <x:c r="L53" s="12" t="str"/>
      <x:c r="M53" s="40" t="str"/>
    </x:row>
    <x:row r="54">
      <x:c r="A54" s="12" t="str">
        <x:v>M053</x:v>
      </x:c>
      <x:c r="B54" s="12" t="str">
        <x:v>invalid-local-time-rejected</x:v>
      </x:c>
      <x:c r="C54" s="12" t="str">
        <x:v>negative</x:v>
      </x:c>
      <x:c r="D54" s="12" t="str">
        <x:v>Invalid local minute is rejected</x:v>
      </x:c>
      <x:c r="E54" s="12" t="str">
        <x:v>E06</x:v>
      </x:c>
      <x:c r="F54" s="12" t="str">
        <x:v>1. Set local minute to 1440</x:v>
      </x:c>
      <x:c r="G54" s="12" t="str"/>
      <x:c r="H54" s="12" t="str">
        <x:v>Automated + Manual</x:v>
      </x:c>
      <x:c r="I54" s="12" t="str">
        <x:v>v1.5.4</x:v>
      </x:c>
      <x:c r="J54" s="12" t="str">
        <x:v>PASS</x:v>
      </x:c>
      <x:c r="K54" s="12" t="str">
        <x:v>Not Run</x:v>
      </x:c>
      <x:c r="L54" s="12" t="str"/>
      <x:c r="M54" s="40" t="str"/>
    </x:row>
    <x:row r="55">
      <x:c r="A55" s="12" t="str">
        <x:v>M054</x:v>
      </x:c>
      <x:c r="B55" s="12" t="str">
        <x:v>invalid-mode-rejected</x:v>
      </x:c>
      <x:c r="C55" s="12" t="str">
        <x:v>negative</x:v>
      </x:c>
      <x:c r="D55" s="12" t="str">
        <x:v>Unsupported mode is rejected</x:v>
      </x:c>
      <x:c r="E55" s="12" t="str">
        <x:v>F10</x:v>
      </x:c>
      <x:c r="F55" s="12" t="str">
        <x:v>1. Set home mode to PRIVACY</x:v>
      </x:c>
      <x:c r="G55" s="12" t="str"/>
      <x:c r="H55" s="12" t="str">
        <x:v>Automated + Manual</x:v>
      </x:c>
      <x:c r="I55" s="12" t="str">
        <x:v>v1.5.4</x:v>
      </x:c>
      <x:c r="J55" s="12" t="str">
        <x:v>PASS</x:v>
      </x:c>
      <x:c r="K55" s="12" t="str">
        <x:v>Not Run</x:v>
      </x:c>
      <x:c r="L55" s="12" t="str"/>
      <x:c r="M55" s="40" t="str"/>
    </x:row>
    <x:row r="56">
      <x:c r="A56" s="12" t="str">
        <x:v>M055</x:v>
      </x:c>
      <x:c r="B56" s="12" t="str">
        <x:v>invalid-door-timeout-rejected</x:v>
      </x:c>
      <x:c r="C56" s="12" t="str">
        <x:v>negative</x:v>
      </x:c>
      <x:c r="D56" s="12" t="str">
        <x:v>Unsafe door timeout setting is rejected</x:v>
      </x:c>
      <x:c r="E56" s="12" t="str">
        <x:v>E07</x:v>
      </x:c>
      <x:c r="F56" s="12" t="str">
        <x:v>1. Change household settings: {"door_open_timeout_seconds": 20}</x:v>
      </x:c>
      <x:c r="G56" s="12" t="str"/>
      <x:c r="H56" s="12" t="str">
        <x:v>Automated + Manual</x:v>
      </x:c>
      <x:c r="I56" s="12" t="str">
        <x:v>v1.5.4</x:v>
      </x:c>
      <x:c r="J56" s="12" t="str">
        <x:v>PASS</x:v>
      </x:c>
      <x:c r="K56" s="12" t="str">
        <x:v>Not Run</x:v>
      </x:c>
      <x:c r="L56" s="12" t="str"/>
      <x:c r="M56" s="40" t="str"/>
    </x:row>
    <x:row r="57">
      <x:c r="A57" s="12" t="str">
        <x:v>M056</x:v>
      </x:c>
      <x:c r="B57" s="12" t="str">
        <x:v>invalid-inactivity-threshold-rejected</x:v>
      </x:c>
      <x:c r="C57" s="12" t="str">
        <x:v>negative</x:v>
      </x:c>
      <x:c r="D57" s="12" t="str">
        <x:v>Unsafe inactivity threshold is rejected</x:v>
      </x:c>
      <x:c r="E57" s="12" t="str">
        <x:v>E07</x:v>
      </x:c>
      <x:c r="F57" s="12" t="str">
        <x:v>1. Change household settings: {"daytime_inactivity_seconds": 200}</x:v>
      </x:c>
      <x:c r="G57" s="12" t="str"/>
      <x:c r="H57" s="12" t="str">
        <x:v>Automated + Manual</x:v>
      </x:c>
      <x:c r="I57" s="12" t="str">
        <x:v>v1.5.4</x:v>
      </x:c>
      <x:c r="J57" s="12" t="str">
        <x:v>PASS</x:v>
      </x:c>
      <x:c r="K57" s="12" t="str">
        <x:v>Not Run</x:v>
      </x:c>
      <x:c r="L57" s="12" t="str"/>
      <x:c r="M57" s="40" t="str"/>
    </x:row>
    <x:row r="58">
      <x:c r="A58" s="12" t="str">
        <x:v>M057</x:v>
      </x:c>
      <x:c r="B58" s="12" t="str">
        <x:v>unknown-node-rejected</x:v>
      </x:c>
      <x:c r="C58" s="12" t="str">
        <x:v>negative</x:v>
      </x:c>
      <x:c r="D58" s="12" t="str">
        <x:v>Unknown node cannot inject sensor data</x:v>
      </x:c>
      <x:c r="E58" s="12" t="str">
        <x:v>E07</x:v>
      </x:c>
      <x:c r="F58" s="12" t="str">
        <x:v>1. Inject MOTION from garage</x:v>
      </x:c>
      <x:c r="G58" s="12" t="str"/>
      <x:c r="H58" s="12" t="str">
        <x:v>Automated + Manual</x:v>
      </x:c>
      <x:c r="I58" s="12" t="str">
        <x:v>v1.5.4</x:v>
      </x:c>
      <x:c r="J58" s="12" t="str">
        <x:v>PASS</x:v>
      </x:c>
      <x:c r="K58" s="12" t="str">
        <x:v>Not Run</x:v>
      </x:c>
      <x:c r="L58" s="12" t="str"/>
      <x:c r="M58" s="40" t="str"/>
    </x:row>
    <x:row r="59">
      <x:c r="A59" s="12" t="str">
        <x:v>M058</x:v>
      </x:c>
      <x:c r="B59" s="12" t="str">
        <x:v>node-fault-low_battery</x:v>
      </x:c>
      <x:c r="C59" s="12" t="str">
        <x:v>diagnostics</x:v>
      </x:c>
      <x:c r="D59" s="12" t="str">
        <x:v>Node fault LOW_BATTERY maps to stable diagnostics</x:v>
      </x:c>
      <x:c r="E59" s="12" t="str">
        <x:v>E01, E10</x:v>
      </x:c>
      <x:c r="F59" s="12" t="str">
        <x:v>1. Inject LOW_BATTERY on None
2. Run Troubleshoot on None</x:v>
      </x:c>
      <x:c r="G59" s="12" t="str">
        <x:v>1. devices where {"active": true, "code": "GS-N001", "health": "DEGRADED", "id": "kitchen"} count = 1</x:v>
      </x:c>
      <x:c r="H59" s="12" t="str">
        <x:v>Automated + Manual</x:v>
      </x:c>
      <x:c r="I59" s="12" t="str">
        <x:v>v1.5.4</x:v>
      </x:c>
      <x:c r="J59" s="12" t="str">
        <x:v>PASS</x:v>
      </x:c>
      <x:c r="K59" s="12" t="str">
        <x:v>Not Run</x:v>
      </x:c>
      <x:c r="L59" s="12" t="str"/>
      <x:c r="M59" s="40" t="str"/>
    </x:row>
    <x:row r="60">
      <x:c r="A60" s="12" t="str">
        <x:v>M059</x:v>
      </x:c>
      <x:c r="B60" s="12" t="str">
        <x:v>node-fault-battery_depleted</x:v>
      </x:c>
      <x:c r="C60" s="12" t="str">
        <x:v>diagnostics</x:v>
      </x:c>
      <x:c r="D60" s="12" t="str">
        <x:v>Node fault BATTERY_DEPLETED maps to stable diagnostics</x:v>
      </x:c>
      <x:c r="E60" s="12" t="str">
        <x:v>E01, E10</x:v>
      </x:c>
      <x:c r="F60" s="12" t="str">
        <x:v>1. Inject BATTERY_DEPLETED on None
2. Run Troubleshoot on None</x:v>
      </x:c>
      <x:c r="G60" s="12" t="str">
        <x:v>1. devices where {"active": false, "code": "GS-N002", "health": "OFFLINE", "id": "kitchen"} count = 1</x:v>
      </x:c>
      <x:c r="H60" s="12" t="str">
        <x:v>Automated + Manual</x:v>
      </x:c>
      <x:c r="I60" s="12" t="str">
        <x:v>v1.5.4</x:v>
      </x:c>
      <x:c r="J60" s="12" t="str">
        <x:v>PASS</x:v>
      </x:c>
      <x:c r="K60" s="12" t="str">
        <x:v>Not Run</x:v>
      </x:c>
      <x:c r="L60" s="12" t="str"/>
      <x:c r="M60" s="40" t="str"/>
    </x:row>
    <x:row r="61">
      <x:c r="A61" s="12" t="str">
        <x:v>M060</x:v>
      </x:c>
      <x:c r="B61" s="12" t="str">
        <x:v>node-fault-link_loss</x:v>
      </x:c>
      <x:c r="C61" s="12" t="str">
        <x:v>diagnostics</x:v>
      </x:c>
      <x:c r="D61" s="12" t="str">
        <x:v>Node fault LINK_LOSS maps to stable diagnostics and reboot recovery</x:v>
      </x:c>
      <x:c r="E61" s="12" t="str">
        <x:v>E01, E10</x:v>
      </x:c>
      <x:c r="F61" s="12" t="str">
        <x:v>1. Inject LINK_LOSS on None
2. Run Troubleshoot on None
3. Run Reboot on None</x:v>
      </x:c>
      <x:c r="G61" s="12" t="str">
        <x:v>1. devices where {"active": true, "code": "GS-OK000", "health": "ACTIVE", "id": "kitchen"} count = 1</x:v>
      </x:c>
      <x:c r="H61" s="12" t="str">
        <x:v>Automated + Manual</x:v>
      </x:c>
      <x:c r="I61" s="12" t="str">
        <x:v>v1.5.4</x:v>
      </x:c>
      <x:c r="J61" s="12" t="str">
        <x:v>PASS</x:v>
      </x:c>
      <x:c r="K61" s="12" t="str">
        <x:v>Not Run</x:v>
      </x:c>
      <x:c r="L61" s="12" t="str"/>
      <x:c r="M61" s="40" t="str"/>
    </x:row>
    <x:row r="62">
      <x:c r="A62" s="12" t="str">
        <x:v>M061</x:v>
      </x:c>
      <x:c r="B62" s="12" t="str">
        <x:v>node-fault-sensor_fault</x:v>
      </x:c>
      <x:c r="C62" s="12" t="str">
        <x:v>diagnostics</x:v>
      </x:c>
      <x:c r="D62" s="12" t="str">
        <x:v>Node fault SENSOR_FAULT maps to stable diagnostics</x:v>
      </x:c>
      <x:c r="E62" s="12" t="str">
        <x:v>E01, E10</x:v>
      </x:c>
      <x:c r="F62" s="12" t="str">
        <x:v>1. Inject SENSOR_FAULT on None
2. Run Troubleshoot on None</x:v>
      </x:c>
      <x:c r="G62" s="12" t="str">
        <x:v>1. devices where {"active": true, "code": "GS-N004", "health": "DEGRADED", "id": "kitchen"} count = 1</x:v>
      </x:c>
      <x:c r="H62" s="12" t="str">
        <x:v>Automated + Manual</x:v>
      </x:c>
      <x:c r="I62" s="12" t="str">
        <x:v>v1.5.4</x:v>
      </x:c>
      <x:c r="J62" s="12" t="str">
        <x:v>PASS</x:v>
      </x:c>
      <x:c r="K62" s="12" t="str">
        <x:v>Not Run</x:v>
      </x:c>
      <x:c r="L62" s="12" t="str"/>
      <x:c r="M62" s="40" t="str"/>
    </x:row>
    <x:row r="63">
      <x:c r="A63" s="12" t="str">
        <x:v>M062</x:v>
      </x:c>
      <x:c r="B63" s="12" t="str">
        <x:v>node-fault-over_temp</x:v>
      </x:c>
      <x:c r="C63" s="12" t="str">
        <x:v>diagnostics</x:v>
      </x:c>
      <x:c r="D63" s="12" t="str">
        <x:v>Node fault OVER_TEMP maps to stable diagnostics</x:v>
      </x:c>
      <x:c r="E63" s="12" t="str">
        <x:v>E01, E10</x:v>
      </x:c>
      <x:c r="F63" s="12" t="str">
        <x:v>1. Inject OVER_TEMP on None
2. Run Troubleshoot on None</x:v>
      </x:c>
      <x:c r="G63" s="12" t="str">
        <x:v>1. devices where {"active": false, "code": "GS-N005", "health": "OFFLINE", "id": "kitchen"} count = 1</x:v>
      </x:c>
      <x:c r="H63" s="12" t="str">
        <x:v>Automated + Manual</x:v>
      </x:c>
      <x:c r="I63" s="12" t="str">
        <x:v>v1.5.4</x:v>
      </x:c>
      <x:c r="J63" s="12" t="str">
        <x:v>PASS</x:v>
      </x:c>
      <x:c r="K63" s="12" t="str">
        <x:v>Not Run</x:v>
      </x:c>
      <x:c r="L63" s="12" t="str"/>
      <x:c r="M63" s="40" t="str"/>
    </x:row>
    <x:row r="64">
      <x:c r="A64" s="12" t="str">
        <x:v>M063</x:v>
      </x:c>
      <x:c r="B64" s="12" t="str">
        <x:v>node-fault-watchdog</x:v>
      </x:c>
      <x:c r="C64" s="12" t="str">
        <x:v>diagnostics</x:v>
      </x:c>
      <x:c r="D64" s="12" t="str">
        <x:v>Node fault WATCHDOG maps to stable diagnostics and reboot recovery</x:v>
      </x:c>
      <x:c r="E64" s="12" t="str">
        <x:v>E01, E10</x:v>
      </x:c>
      <x:c r="F64" s="12" t="str">
        <x:v>1. Inject WATCHDOG on None
2. Run Troubleshoot on None
3. Run Reboot on None</x:v>
      </x:c>
      <x:c r="G64" s="12" t="str">
        <x:v>1. devices where {"active": true, "code": "GS-OK000", "health": "ACTIVE", "id": "kitchen"} count = 1</x:v>
      </x:c>
      <x:c r="H64" s="12" t="str">
        <x:v>Automated + Manual</x:v>
      </x:c>
      <x:c r="I64" s="12" t="str">
        <x:v>v1.5.4</x:v>
      </x:c>
      <x:c r="J64" s="12" t="str">
        <x:v>PASS</x:v>
      </x:c>
      <x:c r="K64" s="12" t="str">
        <x:v>Not Run</x:v>
      </x:c>
      <x:c r="L64" s="12" t="str"/>
      <x:c r="M64" s="40" t="str"/>
    </x:row>
    <x:row r="65">
      <x:c r="A65" s="12" t="str">
        <x:v>M064</x:v>
      </x:c>
      <x:c r="B65" s="12" t="str">
        <x:v>hub-fault-power_loss</x:v>
      </x:c>
      <x:c r="C65" s="12" t="str">
        <x:v>diagnostics</x:v>
      </x:c>
      <x:c r="D65" s="12" t="str">
        <x:v>Hub fault POWER_LOSS maps to stable diagnostics</x:v>
      </x:c>
      <x:c r="E65" s="12" t="str">
        <x:v>E04, E10</x:v>
      </x:c>
      <x:c r="F65" s="12" t="str">
        <x:v>1. Inject POWER_LOSS on None
2. Run Troubleshoot on None</x:v>
      </x:c>
      <x:c r="G65" s="12" t="str">
        <x:v>1. devices where {"active": false, "code": "GS-H001", "health": "OFFLINE", "id": "hub"} count = 1</x:v>
      </x:c>
      <x:c r="H65" s="12" t="str">
        <x:v>Automated + Manual</x:v>
      </x:c>
      <x:c r="I65" s="12" t="str">
        <x:v>v1.5.4</x:v>
      </x:c>
      <x:c r="J65" s="12" t="str">
        <x:v>PASS</x:v>
      </x:c>
      <x:c r="K65" s="12" t="str">
        <x:v>Not Run</x:v>
      </x:c>
      <x:c r="L65" s="12" t="str"/>
      <x:c r="M65" s="40" t="str"/>
    </x:row>
    <x:row r="66">
      <x:c r="A66" s="12" t="str">
        <x:v>M065</x:v>
      </x:c>
      <x:c r="B66" s="12" t="str">
        <x:v>hub-fault-node_radio_failure</x:v>
      </x:c>
      <x:c r="C66" s="12" t="str">
        <x:v>diagnostics</x:v>
      </x:c>
      <x:c r="D66" s="12" t="str">
        <x:v>Hub fault NODE_RADIO_FAILURE maps to stable diagnostics and reboot recovery</x:v>
      </x:c>
      <x:c r="E66" s="12" t="str">
        <x:v>E04, E10</x:v>
      </x:c>
      <x:c r="F66" s="12" t="str">
        <x:v>1. Inject NODE_RADIO_FAILURE on None
2. Run Troubleshoot on None
3. Run Reboot on None</x:v>
      </x:c>
      <x:c r="G66" s="12" t="str">
        <x:v>1. devices where {"active": true, "code": "GS-OK000", "health": "ACTIVE", "id": "hub"} count = 1</x:v>
      </x:c>
      <x:c r="H66" s="12" t="str">
        <x:v>Automated + Manual</x:v>
      </x:c>
      <x:c r="I66" s="12" t="str">
        <x:v>v1.5.4</x:v>
      </x:c>
      <x:c r="J66" s="12" t="str">
        <x:v>PASS</x:v>
      </x:c>
      <x:c r="K66" s="12" t="str">
        <x:v>Not Run</x:v>
      </x:c>
      <x:c r="L66" s="12" t="str"/>
      <x:c r="M66" s="40" t="str"/>
    </x:row>
    <x:row r="67">
      <x:c r="A67" s="12" t="str">
        <x:v>M066</x:v>
      </x:c>
      <x:c r="B67" s="12" t="str">
        <x:v>hub-fault-internet_loss</x:v>
      </x:c>
      <x:c r="C67" s="12" t="str">
        <x:v>diagnostics</x:v>
      </x:c>
      <x:c r="D67" s="12" t="str">
        <x:v>Hub fault INTERNET_LOSS maps to stable diagnostics</x:v>
      </x:c>
      <x:c r="E67" s="12" t="str">
        <x:v>E04, E10</x:v>
      </x:c>
      <x:c r="F67" s="12" t="str">
        <x:v>1. Inject INTERNET_LOSS on None
2. Run Troubleshoot on None</x:v>
      </x:c>
      <x:c r="G67" s="12" t="str">
        <x:v>1. devices where {"active": true, "code": "GS-H003", "health": "DEGRADED", "id": "hub"} count = 1</x:v>
      </x:c>
      <x:c r="H67" s="12" t="str">
        <x:v>Automated + Manual</x:v>
      </x:c>
      <x:c r="I67" s="12" t="str">
        <x:v>v1.5.4</x:v>
      </x:c>
      <x:c r="J67" s="12" t="str">
        <x:v>PASS</x:v>
      </x:c>
      <x:c r="K67" s="12" t="str">
        <x:v>Not Run</x:v>
      </x:c>
      <x:c r="L67" s="12" t="str"/>
      <x:c r="M67" s="40" t="str"/>
    </x:row>
    <x:row r="68">
      <x:c r="A68" s="12" t="str">
        <x:v>M067</x:v>
      </x:c>
      <x:c r="B68" s="12" t="str">
        <x:v>hub-fault-over_temp</x:v>
      </x:c>
      <x:c r="C68" s="12" t="str">
        <x:v>diagnostics</x:v>
      </x:c>
      <x:c r="D68" s="12" t="str">
        <x:v>Hub fault OVER_TEMP maps to stable diagnostics</x:v>
      </x:c>
      <x:c r="E68" s="12" t="str">
        <x:v>E04, E10</x:v>
      </x:c>
      <x:c r="F68" s="12" t="str">
        <x:v>1. Inject OVER_TEMP on None
2. Run Troubleshoot on None</x:v>
      </x:c>
      <x:c r="G68" s="12" t="str">
        <x:v>1. devices where {"active": false, "code": "GS-H004", "health": "OFFLINE", "id": "hub"} count = 1</x:v>
      </x:c>
      <x:c r="H68" s="12" t="str">
        <x:v>Automated + Manual</x:v>
      </x:c>
      <x:c r="I68" s="12" t="str">
        <x:v>v1.5.4</x:v>
      </x:c>
      <x:c r="J68" s="12" t="str">
        <x:v>PASS</x:v>
      </x:c>
      <x:c r="K68" s="12" t="str">
        <x:v>Not Run</x:v>
      </x:c>
      <x:c r="L68" s="12" t="str"/>
      <x:c r="M68" s="40" t="str"/>
    </x:row>
    <x:row r="69">
      <x:c r="A69" s="12" t="str">
        <x:v>M068</x:v>
      </x:c>
      <x:c r="B69" s="12" t="str">
        <x:v>hub-fault-watchdog</x:v>
      </x:c>
      <x:c r="C69" s="12" t="str">
        <x:v>diagnostics</x:v>
      </x:c>
      <x:c r="D69" s="12" t="str">
        <x:v>Hub fault WATCHDOG maps to stable diagnostics and reboot recovery</x:v>
      </x:c>
      <x:c r="E69" s="12" t="str">
        <x:v>E04, E10</x:v>
      </x:c>
      <x:c r="F69" s="12" t="str">
        <x:v>1. Inject WATCHDOG on None
2. Run Troubleshoot on None
3. Run Reboot on None</x:v>
      </x:c>
      <x:c r="G69" s="12" t="str">
        <x:v>1. devices where {"active": true, "code": "GS-OK000", "health": "ACTIVE", "id": "hub"} count = 1</x:v>
      </x:c>
      <x:c r="H69" s="12" t="str">
        <x:v>Automated + Manual</x:v>
      </x:c>
      <x:c r="I69" s="12" t="str">
        <x:v>v1.5.4</x:v>
      </x:c>
      <x:c r="J69" s="12" t="str">
        <x:v>PASS</x:v>
      </x:c>
      <x:c r="K69" s="12" t="str">
        <x:v>Not Run</x:v>
      </x:c>
      <x:c r="L69" s="12" t="str"/>
      <x:c r="M69" s="40" t="str"/>
    </x:row>
  </x:sheetData>
  <x:conditionalFormatting sqref="J2:J69">
    <x:cfRule type="expression" dxfId="0" priority="1">
      <x:formula>J2="PASS"</x:formula>
    </x:cfRule>
    <x:cfRule type="expression" dxfId="1" priority="2">
      <x:formula>J2="FAIL"</x:formula>
    </x:cfRule>
  </x:conditionalFormatting>
  <x:dataValidations count="1">
    <x:dataValidation type="list" sqref="K2:K69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583395e69844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0" hidden="0" customWidth="1"/>
    <x:col min="4" max="4" width="52" hidden="0" customWidth="1"/>
    <x:col min="5" max="5" width="55" hidden="0" customWidth="1"/>
    <x:col min="6" max="6" width="18" hidden="0" customWidth="1"/>
    <x:col min="7" max="7" width="10" hidden="0" customWidth="1"/>
    <x:col min="8" max="8" width="14" hidden="0" customWidth="1"/>
    <x:col min="9" max="9" width="14" hidden="0" customWidth="1"/>
    <x:col min="10" max="10" width="28" hidden="0" customWidth="1"/>
  </x:cols>
  <x:sheetData>
    <x:row r="1">
      <x:c r="A1" s="6" t="str">
        <x:v>Test ID</x:v>
      </x:c>
      <x:c r="B1" s="6" t="str">
        <x:v>Fixture</x:v>
      </x:c>
      <x:c r="C1" s="6" t="str">
        <x:v>Scenario</x:v>
      </x:c>
      <x:c r="D1" s="6" t="str">
        <x:v>Steps</x:v>
      </x:c>
      <x:c r="E1" s="6" t="str">
        <x:v>Expected / Assertions</x:v>
      </x:c>
      <x:c r="F1" s="6" t="str">
        <x:v>Automation</x:v>
      </x:c>
      <x:c r="G1" s="6" t="str">
        <x:v>Release</x:v>
      </x:c>
      <x:c r="H1" s="6" t="str">
        <x:v>Current Status</x:v>
      </x:c>
      <x:c r="I1" s="6" t="str">
        <x:v>Manual Result</x:v>
      </x:c>
      <x:c r="J1" s="6" t="str">
        <x:v>Notes</x:v>
      </x:c>
    </x:row>
    <x:row r="2">
      <x:c r="A2" s="12" t="str">
        <x:v>DS001</x:v>
      </x:c>
      <x:c r="B2" s="12" t="str">
        <x:v>daytime_inactivity.json</x:v>
      </x:c>
      <x:c r="C2" s="12" t="str">
        <x:v>Configured daytime inactivity triggers family check-in workflow</x:v>
      </x:c>
      <x:c r="D2" s="12" t="str">
        <x:v>1. Change household settings: {"daytime_inactivity_seconds": 300}
2. Set local minute to 600
3. Advance simulated clock by 300 seconds</x:v>
      </x:c>
      <x:c r="E2" s="12" t="str">
        <x:v>1. timeline where {"kind": "DAYTIME_INACTIVITY", "tone": "danger"} count = 1
2. incidents where {"kind": "DAYTIME_INACTIVITY", "state": "OPEN"} count = 1</x:v>
      </x:c>
      <x:c r="F2" s="12" t="str">
        <x:v>Automated replay</x:v>
      </x:c>
      <x:c r="G2" s="12" t="str">
        <x:v>v1.5.4</x:v>
      </x:c>
      <x:c r="H2" s="12" t="str">
        <x:v>PASS</x:v>
      </x:c>
      <x:c r="I2" s="12" t="str">
        <x:v>Not Run</x:v>
      </x:c>
      <x:c r="J2" s="40" t="str"/>
    </x:row>
    <x:row r="3">
      <x:c r="A3" s="12" t="str">
        <x:v>DS002</x:v>
      </x:c>
      <x:c r="B3" s="12" t="str">
        <x:v>late_night_door.json</x:v>
      </x:c>
      <x:c r="C3" s="12" t="str">
        <x:v>Late-night door stays open then closes</x:v>
      </x:c>
      <x:c r="D3" s="12" t="str">
        <x:v>1. Inject DOOR_OPEN from entry (late-night)
2. Advance simulated clock by 360 seconds
3. Inject DOOR_CLOSED from entry</x:v>
      </x:c>
      <x:c r="E3" s="12" t="str">
        <x:v>1. timeline where {"kind": "DOOR_LEFT_OPEN", "tone": "danger"} count = 1
2. home.latest_activity.kind = DOOR_CLOSED
3. home.latest_activity.details.resolved_left_open = True</x:v>
      </x:c>
      <x:c r="F3" s="12" t="str">
        <x:v>Automated replay</x:v>
      </x:c>
      <x:c r="G3" s="12" t="str">
        <x:v>v1.5.4</x:v>
      </x:c>
      <x:c r="H3" s="12" t="str">
        <x:v>PASS</x:v>
      </x:c>
      <x:c r="I3" s="12" t="str">
        <x:v>Not Run</x:v>
      </x:c>
      <x:c r="J3" s="40" t="str"/>
    </x:row>
    <x:row r="4">
      <x:c r="A4" s="12" t="str">
        <x:v>DS003</x:v>
      </x:c>
      <x:c r="B4" s="12" t="str">
        <x:v>missing_then_recovery_activity.json</x:v>
      </x:c>
      <x:c r="C4" s="12" t="str">
        <x:v>Missing morning followed by later household activity</x:v>
      </x:c>
      <x:c r="D4" s="12" t="str">
        <x:v>1. Advance simulated clock by 1300 seconds
2. Inject MOTION from room1
3. Advance simulated clock by 120 seconds
4. Inject MOTION from kitchen
5. Inject DOOR_OPEN from entry</x:v>
      </x:c>
      <x:c r="E4" s="12" t="str">
        <x:v>1. incidents where {"kind": "MISSING_MORNING_ACTIVITY"} count = 1
2. home.recent_events where {"kind": "MOTION"} count &gt;= 2
3. home.recent_events where {"kind": "DOOR_OPEN"} count = 1</x:v>
      </x:c>
      <x:c r="F4" s="12" t="str">
        <x:v>Automated replay</x:v>
      </x:c>
      <x:c r="G4" s="12" t="str">
        <x:v>v1.5.4</x:v>
      </x:c>
      <x:c r="H4" s="12" t="str">
        <x:v>PASS</x:v>
      </x:c>
      <x:c r="I4" s="12" t="str">
        <x:v>Not Run</x:v>
      </x:c>
      <x:c r="J4" s="40" t="str"/>
    </x:row>
    <x:row r="5">
      <x:c r="A5" s="12" t="str">
        <x:v>DS004</x:v>
      </x:c>
      <x:c r="B5" s="12" t="str">
        <x:v>normal_morning.json</x:v>
      </x:c>
      <x:c r="C5" s="12" t="str">
        <x:v>Normal morning kitchen and pooja activity</x:v>
      </x:c>
      <x:c r="D5" s="12" t="str">
        <x:v>1. Inject MOTION from kitchen
2. Advance simulated clock by 120 seconds
3. Inject MOTION from pooja
4. Advance simulated clock by 1180 seconds</x:v>
      </x:c>
      <x:c r="E5" s="12" t="str">
        <x:v>1. incidents where {"kind": "MISSING_MORNING_ACTIVITY"} count = 0
2. simulation.reason = evidence_present</x:v>
      </x:c>
      <x:c r="F5" s="12" t="str">
        <x:v>Automated replay</x:v>
      </x:c>
      <x:c r="G5" s="12" t="str">
        <x:v>v1.5.4</x:v>
      </x:c>
      <x:c r="H5" s="12" t="str">
        <x:v>PASS</x:v>
      </x:c>
      <x:c r="I5" s="12" t="str">
        <x:v>Not Run</x:v>
      </x:c>
      <x:c r="J5" s="40" t="str"/>
    </x:row>
    <x:row r="6">
      <x:c r="A6" s="12" t="str">
        <x:v>DS005</x:v>
      </x:c>
      <x:c r="B6" s="12" t="str">
        <x:v>offline_replay.json</x:v>
      </x:c>
      <x:c r="C6" s="12" t="str">
        <x:v>Sensor activity during WAN loss is replayed after reconnect</x:v>
      </x:c>
      <x:c r="D6" s="12" t="str">
        <x:v>1. Set WAN disabled
2. Inject MOTION from kitchen
3. Advance simulated clock by 120 seconds
4. Set WAN enabled</x:v>
      </x:c>
      <x:c r="E6" s="12" t="str">
        <x:v>1. timeline where {"kind": "MOTION"} count = 1
2. simulation.pending_cloud = 0</x:v>
      </x:c>
      <x:c r="F6" s="12" t="str">
        <x:v>Automated replay</x:v>
      </x:c>
      <x:c r="G6" s="12" t="str">
        <x:v>v1.5.4</x:v>
      </x:c>
      <x:c r="H6" s="12" t="str">
        <x:v>PASS</x:v>
      </x:c>
      <x:c r="I6" s="12" t="str">
        <x:v>Not Run</x:v>
      </x:c>
      <x:c r="J6" s="40" t="str"/>
    </x:row>
  </x:sheetData>
  <x:dataValidations count="1">
    <x:dataValidation type="list" sqref="I2:I6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c6eb4878eb42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2" hidden="0" customWidth="1"/>
    <x:col min="4" max="4" width="42" hidden="0" customWidth="1"/>
    <x:col min="5" max="5" width="16" hidden="0" customWidth="1"/>
    <x:col min="6" max="6" width="18" hidden="0" customWidth="1"/>
    <x:col min="7" max="7" width="35" hidden="0" customWidth="1"/>
  </x:cols>
  <x:sheetData>
    <x:row r="1">
      <x:c r="A1" s="6" t="str">
        <x:v>Requirement</x:v>
      </x:c>
      <x:c r="B1" s="6" t="str">
        <x:v>Automated Evidence</x:v>
      </x:c>
      <x:c r="C1" s="6" t="str">
        <x:v>Manual Evidence</x:v>
      </x:c>
      <x:c r="D1" s="6" t="str">
        <x:v>Hardware Pending</x:v>
      </x:c>
      <x:c r="E1" s="6" t="str">
        <x:v>Coverage Status</x:v>
      </x:c>
      <x:c r="F1" s="6" t="str">
        <x:v>Owner</x:v>
      </x:c>
      <x:c r="G1" s="6" t="str">
        <x:v>Notes</x:v>
      </x:c>
    </x:row>
    <x:row r="2">
      <x:c r="A2" s="12" t="str">
        <x:v>F01</x:v>
      </x:c>
      <x:c r="B2" s="12" t="str">
        <x:v>tests/python/test_backend.py
tests/js/app.test.mjs</x:v>
      </x:c>
      <x:c r="C2" s="12" t="str"/>
      <x:c r="D2" s="12" t="str"/>
      <x:c r="E2" s="12" t="str">
        <x:v>Mapped</x:v>
      </x:c>
      <x:c r="F2" s="12" t="str"/>
      <x:c r="G2" s="40" t="str"/>
    </x:row>
    <x:row r="3">
      <x:c r="A3" s="12" t="str">
        <x:v>F02</x:v>
      </x:c>
      <x:c r="B3" s="12" t="str">
        <x:v>tests/python/test_backend.py
tests/functional/scenario_catalog.json</x:v>
      </x:c>
      <x:c r="C3" s="12" t="str"/>
      <x:c r="D3" s="12" t="str"/>
      <x:c r="E3" s="12" t="str">
        <x:v>Mapped</x:v>
      </x:c>
      <x:c r="F3" s="12" t="str"/>
      <x:c r="G3" s="40" t="str"/>
    </x:row>
    <x:row r="4">
      <x:c r="A4" s="12" t="str">
        <x:v>F03</x:v>
      </x:c>
      <x:c r="B4" s="12" t="str">
        <x:v>tests/js/app.test.mjs</x:v>
      </x:c>
      <x:c r="C4" s="12" t="str"/>
      <x:c r="D4" s="12" t="str">
        <x:v>identity/capability/radio/input installed-home drill</x:v>
      </x:c>
      <x:c r="E4" s="12" t="str">
        <x:v>Mapped</x:v>
      </x:c>
      <x:c r="F4" s="12" t="str"/>
      <x:c r="G4" s="40" t="str"/>
    </x:row>
    <x:row r="5">
      <x:c r="A5" s="12" t="str">
        <x:v>F04</x:v>
      </x:c>
      <x:c r="B5" s="12" t="str">
        <x:v>tests/js/app.test.mjs
tests/functional/scenario_catalog.json</x:v>
      </x:c>
      <x:c r="C5" s="12" t="str"/>
      <x:c r="D5" s="12" t="str"/>
      <x:c r="E5" s="12" t="str">
        <x:v>Mapped</x:v>
      </x:c>
      <x:c r="F5" s="12" t="str"/>
      <x:c r="G5" s="40" t="str"/>
    </x:row>
    <x:row r="6">
      <x:c r="A6" s="12" t="str">
        <x:v>F05</x:v>
      </x:c>
      <x:c r="B6" s="12" t="str">
        <x:v>tests/cpp/test_main.cpp
tests/functional/scenario_catalog.json</x:v>
      </x:c>
      <x:c r="C6" s="12" t="str"/>
      <x:c r="D6" s="12" t="str"/>
      <x:c r="E6" s="12" t="str">
        <x:v>Mapped</x:v>
      </x:c>
      <x:c r="F6" s="12" t="str"/>
      <x:c r="G6" s="40" t="str"/>
    </x:row>
    <x:row r="7">
      <x:c r="A7" s="12" t="str">
        <x:v>F06</x:v>
      </x:c>
      <x:c r="B7" s="12" t="str">
        <x:v>tests/functional/scenario_catalog.json
tests/simulation_http_test.py</x:v>
      </x:c>
      <x:c r="C7" s="12" t="str"/>
      <x:c r="D7" s="12" t="str"/>
      <x:c r="E7" s="12" t="str">
        <x:v>Mapped</x:v>
      </x:c>
      <x:c r="F7" s="12" t="str"/>
      <x:c r="G7" s="40" t="str"/>
    </x:row>
    <x:row r="8">
      <x:c r="A8" s="12" t="str">
        <x:v>F07</x:v>
      </x:c>
      <x:c r="B8" s="12" t="str">
        <x:v>tests/python/test_backend.py
tests/functional/scenario_catalog.json</x:v>
      </x:c>
      <x:c r="C8" s="12" t="str"/>
      <x:c r="D8" s="12" t="str"/>
      <x:c r="E8" s="12" t="str">
        <x:v>Mapped</x:v>
      </x:c>
      <x:c r="F8" s="12" t="str"/>
      <x:c r="G8" s="40" t="str"/>
    </x:row>
    <x:row r="9">
      <x:c r="A9" s="12" t="str">
        <x:v>F08</x:v>
      </x:c>
      <x:c r="B9" s="12" t="str">
        <x:v>tests/cpp/test_main.cpp
tests/functional/scenario_catalog.json
tests/simulation_http_test.py</x:v>
      </x:c>
      <x:c r="C9" s="12" t="str"/>
      <x:c r="D9" s="12" t="str"/>
      <x:c r="E9" s="12" t="str">
        <x:v>Mapped</x:v>
      </x:c>
      <x:c r="F9" s="12" t="str"/>
      <x:c r="G9" s="40" t="str"/>
    </x:row>
    <x:row r="10">
      <x:c r="A10" s="12" t="str">
        <x:v>F09</x:v>
      </x:c>
      <x:c r="B10" s="12" t="str">
        <x:v>tests/cpp/test_main.cpp
tests/functional/scenario_catalog.json
tests/simulation_http_test.py</x:v>
      </x:c>
      <x:c r="C10" s="12" t="str"/>
      <x:c r="D10" s="12" t="str"/>
      <x:c r="E10" s="12" t="str">
        <x:v>Mapped</x:v>
      </x:c>
      <x:c r="F10" s="12" t="str"/>
      <x:c r="G10" s="40" t="str"/>
    </x:row>
    <x:row r="11">
      <x:c r="A11" s="12" t="str">
        <x:v>F10</x:v>
      </x:c>
      <x:c r="B11" s="12" t="str">
        <x:v>tests/functional/scenario_catalog.json</x:v>
      </x:c>
      <x:c r="C11" s="12" t="str"/>
      <x:c r="D11" s="12" t="str"/>
      <x:c r="E11" s="12" t="str">
        <x:v>Mapped</x:v>
      </x:c>
      <x:c r="F11" s="12" t="str"/>
      <x:c r="G11" s="40" t="str"/>
    </x:row>
    <x:row r="12">
      <x:c r="A12" s="12" t="str">
        <x:v>F11</x:v>
      </x:c>
      <x:c r="B12" s="12" t="str">
        <x:v>tests/js/app.test.mjs
tests/functional/scenario_catalog.json</x:v>
      </x:c>
      <x:c r="C12" s="12" t="str">
        <x:v>tests/MANUAL_FUNCTIONAL_VALIDATION.md</x:v>
      </x:c>
      <x:c r="D12" s="12" t="str"/>
      <x:c r="E12" s="12" t="str">
        <x:v>Mapped</x:v>
      </x:c>
      <x:c r="F12" s="12" t="str"/>
      <x:c r="G12" s="40" t="str"/>
    </x:row>
    <x:row r="13">
      <x:c r="A13" s="12" t="str">
        <x:v>F12</x:v>
      </x:c>
      <x:c r="B13" s="12" t="str">
        <x:v>tests/functional/scenario_catalog.json
tests/simulation_http_test.py</x:v>
      </x:c>
      <x:c r="C13" s="12" t="str"/>
      <x:c r="D13" s="12" t="str"/>
      <x:c r="E13" s="12" t="str">
        <x:v>Mapped</x:v>
      </x:c>
      <x:c r="F13" s="12" t="str"/>
      <x:c r="G13" s="40" t="str"/>
    </x:row>
    <x:row r="14">
      <x:c r="A14" s="12" t="str">
        <x:v>F13</x:v>
      </x:c>
      <x:c r="B14" s="12" t="str">
        <x:v>tests/python/test_backend.py
tests/functional/scenario_catalog.json</x:v>
      </x:c>
      <x:c r="C14" s="12" t="str"/>
      <x:c r="D14" s="12" t="str"/>
      <x:c r="E14" s="12" t="str">
        <x:v>Mapped</x:v>
      </x:c>
      <x:c r="F14" s="12" t="str"/>
      <x:c r="G14" s="40" t="str"/>
    </x:row>
    <x:row r="15">
      <x:c r="A15" s="12" t="str">
        <x:v>F14</x:v>
      </x:c>
      <x:c r="B15" s="12" t="str">
        <x:v>tests/python/test_backend.py</x:v>
      </x:c>
      <x:c r="C15" s="12" t="str"/>
      <x:c r="D15" s="12" t="str"/>
      <x:c r="E15" s="12" t="str">
        <x:v>Mapped</x:v>
      </x:c>
      <x:c r="F15" s="12" t="str"/>
      <x:c r="G15" s="40" t="str"/>
    </x:row>
    <x:row r="16">
      <x:c r="A16" s="12" t="str">
        <x:v>E01</x:v>
      </x:c>
      <x:c r="B16" s="12" t="str">
        <x:v>tests/functional/scenario_catalog.json</x:v>
      </x:c>
      <x:c r="C16" s="12" t="str"/>
      <x:c r="D16" s="12" t="str"/>
      <x:c r="E16" s="12" t="str">
        <x:v>Mapped</x:v>
      </x:c>
      <x:c r="F16" s="12" t="str"/>
      <x:c r="G16" s="40" t="str"/>
    </x:row>
    <x:row r="17">
      <x:c r="A17" s="12" t="str">
        <x:v>E02</x:v>
      </x:c>
      <x:c r="B17" s="12" t="str">
        <x:v>tests/cpp/test_main.cpp
tests/functional/scenario_catalog.json</x:v>
      </x:c>
      <x:c r="C17" s="12" t="str"/>
      <x:c r="D17" s="12" t="str"/>
      <x:c r="E17" s="12" t="str">
        <x:v>Mapped</x:v>
      </x:c>
      <x:c r="F17" s="12" t="str"/>
      <x:c r="G17" s="40" t="str"/>
    </x:row>
    <x:row r="18">
      <x:c r="A18" s="12" t="str">
        <x:v>E03</x:v>
      </x:c>
      <x:c r="B18" s="12" t="str">
        <x:v>tests/functional/scenario_catalog.json
tests/simulation_http_test.py</x:v>
      </x:c>
      <x:c r="C18" s="12" t="str"/>
      <x:c r="D18" s="12" t="str"/>
      <x:c r="E18" s="12" t="str">
        <x:v>Mapped</x:v>
      </x:c>
      <x:c r="F18" s="12" t="str"/>
      <x:c r="G18" s="40" t="str"/>
    </x:row>
    <x:row r="19">
      <x:c r="A19" s="12" t="str">
        <x:v>E04</x:v>
      </x:c>
      <x:c r="B19" s="12" t="str">
        <x:v>tests/python/test_backend.py
tests/simulation_http_test.py</x:v>
      </x:c>
      <x:c r="C19" s="12" t="str"/>
      <x:c r="D19" s="12" t="str"/>
      <x:c r="E19" s="12" t="str">
        <x:v>Mapped</x:v>
      </x:c>
      <x:c r="F19" s="12" t="str"/>
      <x:c r="G19" s="40" t="str"/>
    </x:row>
    <x:row r="20">
      <x:c r="A20" s="12" t="str">
        <x:v>E05</x:v>
      </x:c>
      <x:c r="B20" s="12" t="str">
        <x:v>tests/python/test_database_schema.py</x:v>
      </x:c>
      <x:c r="C20" s="12" t="str"/>
      <x:c r="D20" s="12" t="str">
        <x:v>actual flash persistence/power-loss</x:v>
      </x:c>
      <x:c r="E20" s="12" t="str">
        <x:v>Mapped</x:v>
      </x:c>
      <x:c r="F20" s="12" t="str"/>
      <x:c r="G20" s="40" t="str"/>
    </x:row>
    <x:row r="21">
      <x:c r="A21" s="12" t="str">
        <x:v>E06</x:v>
      </x:c>
      <x:c r="B21" s="12" t="str">
        <x:v>tests/cpp/test_main.cpp
tests/functional/scenario_catalog.json</x:v>
      </x:c>
      <x:c r="C21" s="12" t="str"/>
      <x:c r="D21" s="12" t="str"/>
      <x:c r="E21" s="12" t="str">
        <x:v>Mapped</x:v>
      </x:c>
      <x:c r="F21" s="12" t="str"/>
      <x:c r="G21" s="40" t="str"/>
    </x:row>
    <x:row r="22">
      <x:c r="A22" s="12" t="str">
        <x:v>E07</x:v>
      </x:c>
      <x:c r="B22" s="12" t="str">
        <x:v>tests/js/app.test.mjs
tests/functional/scenario_catalog.json
tests/simulation_http_test.py</x:v>
      </x:c>
      <x:c r="C22" s="12" t="str"/>
      <x:c r="D22" s="12" t="str"/>
      <x:c r="E22" s="12" t="str">
        <x:v>Mapped</x:v>
      </x:c>
      <x:c r="F22" s="12" t="str"/>
      <x:c r="G22" s="40" t="str"/>
    </x:row>
    <x:row r="23">
      <x:c r="A23" s="12" t="str">
        <x:v>E08</x:v>
      </x:c>
      <x:c r="B23" s="12" t="str">
        <x:v>tests/python/test_backend.py
tests/simulation_http_test.py</x:v>
      </x:c>
      <x:c r="C23" s="12" t="str"/>
      <x:c r="D23" s="12" t="str"/>
      <x:c r="E23" s="12" t="str">
        <x:v>Mapped</x:v>
      </x:c>
      <x:c r="F23" s="12" t="str"/>
      <x:c r="G23" s="40" t="str"/>
    </x:row>
    <x:row r="24">
      <x:c r="A24" s="12" t="str">
        <x:v>E09</x:v>
      </x:c>
      <x:c r="B24" s="12" t="str">
        <x:v>tests/cpp/test_main.cpp</x:v>
      </x:c>
      <x:c r="C24" s="12" t="str"/>
      <x:c r="D24" s="12" t="str">
        <x:v>signed OTA/rollback/watchdog on target boards</x:v>
      </x:c>
      <x:c r="E24" s="12" t="str">
        <x:v>Mapped</x:v>
      </x:c>
      <x:c r="F24" s="12" t="str"/>
      <x:c r="G24" s="40" t="str"/>
    </x:row>
    <x:row r="25">
      <x:c r="A25" s="12" t="str">
        <x:v>E10</x:v>
      </x:c>
      <x:c r="B25" s="12" t="str">
        <x:v>tests/python/test_logging.py
tests/functional/scenario_catalog.json</x:v>
      </x:c>
      <x:c r="C25" s="12" t="str">
        <x:v>tests/MANUAL_FUNCTIONAL_VALIDATION.md</x:v>
      </x:c>
      <x:c r="D25" s="12" t="str"/>
      <x:c r="E25" s="12" t="str">
        <x:v>Mapped</x:v>
      </x:c>
      <x:c r="F25" s="12" t="str"/>
      <x:c r="G25" s="40" t="str"/>
    </x:row>
  </x:sheetData>
  <x:conditionalFormatting sqref="E2:E25">
    <x:cfRule type="expression" dxfId="2" priority="1">
      <x:formula>E2="Mapped"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8c3bb7e8be41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40" hidden="0" customWidth="1"/>
    <x:col min="4" max="4" width="18" hidden="0" customWidth="1"/>
    <x:col min="5" max="5" width="48" hidden="0" customWidth="1"/>
    <x:col min="6" max="6" width="10" hidden="0" customWidth="1"/>
  </x:cols>
  <x:sheetData>
    <x:row r="1">
      <x:c r="A1" s="6" t="str">
        <x:v>Stage</x:v>
      </x:c>
      <x:c r="B1" s="6" t="str">
        <x:v>Status</x:v>
      </x:c>
      <x:c r="C1" s="6" t="str">
        <x:v>Evidence</x:v>
      </x:c>
      <x:c r="D1" s="6" t="str">
        <x:v>Mandatory</x:v>
      </x:c>
      <x:c r="E1" s="6" t="str">
        <x:v>Command / Notes</x:v>
      </x:c>
      <x:c r="F1" s="6" t="str">
        <x:v>Release</x:v>
      </x:c>
    </x:row>
    <x:row r="2">
      <x:c r="A2" s="12" t="str">
        <x:v>validation coverage</x:v>
      </x:c>
      <x:c r="B2" s="12" t="str">
        <x:v>PASS</x:v>
      </x:c>
      <x:c r="C2" s="12" t="str">
        <x:v>24/24 P0 IDs mapped</x:v>
      </x:c>
      <x:c r="D2" s="12" t="str">
        <x:v>Yes</x:v>
      </x:c>
      <x:c r="E2" s="12" t="str">
        <x:v>python scripts/check_validation_coverage.py</x:v>
      </x:c>
      <x:c r="F2" s="40" t="str">
        <x:v>v1.5.4</x:v>
      </x:c>
    </x:row>
    <x:row r="3">
      <x:c r="A3" s="12" t="str">
        <x:v>contracts</x:v>
      </x:c>
      <x:c r="B3" s="12" t="str">
        <x:v>PASS</x:v>
      </x:c>
      <x:c r="C3" s="12" t="str">
        <x:v>4 schemas + protocol examples + config + OpenAPI</x:v>
      </x:c>
      <x:c r="D3" s="12" t="str">
        <x:v>Yes</x:v>
      </x:c>
      <x:c r="E3" s="12" t="str">
        <x:v>python scripts/verify_contracts.py</x:v>
      </x:c>
      <x:c r="F3" s="40" t="str">
        <x:v>v1.5.4</x:v>
      </x:c>
    </x:row>
    <x:row r="4">
      <x:c r="A4" s="12" t="str">
        <x:v>C++ unit/component</x:v>
      </x:c>
      <x:c r="B4" s="12" t="str">
        <x:v>PASS</x:v>
      </x:c>
      <x:c r="C4" s="12" t="str">
        <x:v>80 checks</x:v>
      </x:c>
      <x:c r="D4" s="12" t="str">
        <x:v>Yes</x:v>
      </x:c>
      <x:c r="E4" s="12" t="str">
        <x:v>make cpp-test</x:v>
      </x:c>
      <x:c r="F4" s="40" t="str">
        <x:v>v1.5.4</x:v>
      </x:c>
    </x:row>
    <x:row r="5">
      <x:c r="A5" s="12" t="str">
        <x:v>Python backend/database/logging/framework</x:v>
      </x:c>
      <x:c r="B5" s="12" t="str">
        <x:v>PASS</x:v>
      </x:c>
      <x:c r="C5" s="12" t="str">
        <x:v>24 tests</x:v>
      </x:c>
      <x:c r="D5" s="12" t="str">
        <x:v>Yes</x:v>
      </x:c>
      <x:c r="E5" s="12" t="str">
        <x:v>make python-test</x:v>
      </x:c>
      <x:c r="F5" s="40" t="str">
        <x:v>v1.5.4</x:v>
      </x:c>
    </x:row>
    <x:row r="6">
      <x:c r="A6" s="12" t="str">
        <x:v>JavaScript app</x:v>
      </x:c>
      <x:c r="B6" s="12" t="str">
        <x:v>PASS</x:v>
      </x:c>
      <x:c r="C6" s="12" t="str">
        <x:v>10 tests</x:v>
      </x:c>
      <x:c r="D6" s="12" t="str">
        <x:v>Yes</x:v>
      </x:c>
      <x:c r="E6" s="12" t="str">
        <x:v>make app-test</x:v>
      </x:c>
      <x:c r="F6" s="40" t="str">
        <x:v>v1.5.4</x:v>
      </x:c>
    </x:row>
    <x:row r="7">
      <x:c r="A7" s="12" t="str">
        <x:v>Base product profile</x:v>
      </x:c>
      <x:c r="B7" s="12" t="str">
        <x:v>PASS</x:v>
      </x:c>
      <x:c r="C7" s="12" t="str">
        <x:v>passed</x:v>
      </x:c>
      <x:c r="D7" s="12" t="str">
        <x:v>Yes</x:v>
      </x:c>
      <x:c r="E7" s="12" t="str">
        <x:v>make product-test PRODUCT=base</x:v>
      </x:c>
      <x:c r="F7" s="40" t="str">
        <x:v>v1.5.4</x:v>
      </x:c>
    </x:row>
    <x:row r="8">
      <x:c r="A8" s="12" t="str">
        <x:v>AI product profile</x:v>
      </x:c>
      <x:c r="B8" s="12" t="str">
        <x:v>PASS</x:v>
      </x:c>
      <x:c r="C8" s="12" t="str">
        <x:v>passed</x:v>
      </x:c>
      <x:c r="D8" s="12" t="str">
        <x:v>Yes</x:v>
      </x:c>
      <x:c r="E8" s="12" t="str">
        <x:v>make product-test PRODUCT=ai</x:v>
      </x:c>
      <x:c r="F8" s="40" t="str">
        <x:v>v1.5.4</x:v>
      </x:c>
    </x:row>
    <x:row r="9">
      <x:c r="A9" s="12" t="str">
        <x:v>feature flag matrix</x:v>
      </x:c>
      <x:c r="B9" s="12" t="str">
        <x:v>PASS</x:v>
      </x:c>
      <x:c r="C9" s="12" t="str">
        <x:v>4/4 variants</x:v>
      </x:c>
      <x:c r="D9" s="12" t="str">
        <x:v>Yes</x:v>
      </x:c>
      <x:c r="E9" s="12" t="str">
        <x:v>4 simulator builds / feature variants</x:v>
      </x:c>
      <x:c r="F9" s="40" t="str">
        <x:v>v1.5.4</x:v>
      </x:c>
    </x:row>
    <x:row r="10">
      <x:c r="A10" s="12" t="str">
        <x:v>dummy sensor streams</x:v>
      </x:c>
      <x:c r="B10" s="12" t="str">
        <x:v>PASS</x:v>
      </x:c>
      <x:c r="C10" s="12" t="str">
        <x:v>5/5 streams</x:v>
      </x:c>
      <x:c r="D10" s="12" t="str">
        <x:v>Yes</x:v>
      </x:c>
      <x:c r="E10" s="12" t="str">
        <x:v>python tools/validation/run_dummy_sensor_streams.py</x:v>
      </x:c>
      <x:c r="F10" s="40" t="str">
        <x:v>v1.5.4</x:v>
      </x:c>
    </x:row>
    <x:row r="11">
      <x:c r="A11" s="12" t="str">
        <x:v>connected functional catalog</x:v>
      </x:c>
      <x:c r="B11" s="12" t="str">
        <x:v>PASS</x:v>
      </x:c>
      <x:c r="C11" s="12" t="str">
        <x:v>68/68 scenarios</x:v>
      </x:c>
      <x:c r="D11" s="12" t="str">
        <x:v>Yes</x:v>
      </x:c>
      <x:c r="E11" s="12" t="str">
        <x:v>python tools/validation/run_functional_suite.py</x:v>
      </x:c>
      <x:c r="F11" s="40" t="str">
        <x:v>v1.5.4</x:v>
      </x:c>
    </x:row>
    <x:row r="12">
      <x:c r="A12" s="12" t="str">
        <x:v>HTTP integration</x:v>
      </x:c>
      <x:c r="B12" s="12" t="str">
        <x:v>PASS</x:v>
      </x:c>
      <x:c r="C12" s="12" t="str">
        <x:v>16/16 tests</x:v>
      </x:c>
      <x:c r="D12" s="12" t="str">
        <x:v>Yes</x:v>
      </x:c>
      <x:c r="E12" s="12" t="str">
        <x:v>python tests/simulation_http_test.py</x:v>
      </x:c>
      <x:c r="F12" s="40" t="str">
        <x:v>v1.5.4</x:v>
      </x:c>
    </x:row>
    <x:row r="13">
      <x:c r="A13" s="12" t="str">
        <x:v>ASan/UBSan</x:v>
      </x:c>
      <x:c r="B13" s="12" t="str">
        <x:v>PASS</x:v>
      </x:c>
      <x:c r="C13" s="12" t="str">
        <x:v>80 C++ checks</x:v>
      </x:c>
      <x:c r="D13" s="12" t="str">
        <x:v>Yes</x:v>
      </x:c>
      <x:c r="E13" s="12" t="str">
        <x:v>make verify-sanitize</x:v>
      </x:c>
      <x:c r="F13" s="40" t="str">
        <x:v>v1.5.4</x:v>
      </x:c>
    </x:row>
    <x:row r="14">
      <x:c r="A14" s="12" t="str">
        <x:v>trace-enabled C++</x:v>
      </x:c>
      <x:c r="B14" s="12" t="str">
        <x:v>PASS</x:v>
      </x:c>
      <x:c r="C14" s="12" t="str">
        <x:v>80 checks</x:v>
      </x:c>
      <x:c r="D14" s="12" t="str">
        <x:v>Yes</x:v>
      </x:c>
      <x:c r="E14" s="12" t="str">
        <x:v>make cpp-test TRACE_FLAGS=-DGS_ENABLE_TRACE=1</x:v>
      </x:c>
      <x:c r="F14" s="40" t="str">
        <x:v>v1.5.4</x:v>
      </x:c>
    </x:row>
    <x:row r="15">
      <x:c r="A15" s="12" t="str">
        <x:v>Playwright browser</x:v>
      </x:c>
      <x:c r="B15" s="12" t="str">
        <x:v>MANUAL_REQUIRED</x:v>
      </x:c>
      <x:c r="C15" s="12" t="str">
        <x:v>Playwright not installed; generated manual plan provided</x:v>
      </x:c>
      <x:c r="D15" s="12" t="str">
        <x:v>Browser-specific</x:v>
      </x:c>
      <x:c r="E15" s="12" t="str">
        <x:v>node tests/simulation_browser_test.cjs / make release-gate-browser</x:v>
      </x:c>
      <x:c r="F15" s="40" t="str">
        <x:v>v1.5.4</x:v>
      </x:c>
    </x:row>
  </x:sheetData>
  <x:conditionalFormatting sqref="B2:B15">
    <x:cfRule type="expression" dxfId="3" priority="1">
      <x:formula>B2="PASS"</x:formula>
    </x:cfRule>
    <x:cfRule type="expression" dxfId="4" priority="2">
      <x:formula>B2="MANUAL_REQUIRED"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fd0a390e4545d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42" hidden="0" customWidth="1"/>
    <x:col min="4" max="4" width="14" hidden="0" customWidth="1"/>
    <x:col min="5" max="5" width="14" hidden="0" customWidth="1"/>
    <x:col min="6" max="6" width="35" hidden="0" customWidth="1"/>
    <x:col min="7" max="7" width="35" hidden="0" customWidth="1"/>
  </x:cols>
  <x:sheetData>
    <x:row r="1">
      <x:c r="A1" s="6" t="str">
        <x:v>Check ID</x:v>
      </x:c>
      <x:c r="B1" s="6" t="str">
        <x:v>Manual Visual / Usability Check</x:v>
      </x:c>
      <x:c r="C1" s="6" t="str">
        <x:v>Expected</x:v>
      </x:c>
      <x:c r="D1" s="6" t="str">
        <x:v>Result</x:v>
      </x:c>
      <x:c r="E1" s="6" t="str">
        <x:v>Defect ID</x:v>
      </x:c>
      <x:c r="F1" s="6" t="str">
        <x:v>Evidence / Screenshot</x:v>
      </x:c>
      <x:c r="G1" s="6" t="str">
        <x:v>Notes</x:v>
      </x:c>
    </x:row>
    <x:row r="2">
      <x:c r="A2" s="12" t="str">
        <x:v>UI001</x:v>
      </x:c>
      <x:c r="B2" s="12" t="str">
        <x:v>I am OK is visually positive/green and includes elapsed time</x:v>
      </x:c>
      <x:c r="C2" s="12" t="str">
        <x:v>Requirement satisfied in browser/PWA</x:v>
      </x:c>
      <x:c r="D2" s="12" t="str">
        <x:v>Not Run</x:v>
      </x:c>
      <x:c r="E2" s="12" t="str"/>
      <x:c r="F2" s="12" t="str"/>
      <x:c r="G2" s="40" t="str"/>
    </x:row>
    <x:row r="3">
      <x:c r="A3" s="12" t="str">
        <x:v>UI002</x:v>
      </x:c>
      <x:c r="B3" s="12" t="str">
        <x:v>Unexpected/concern events are visually distinct and are not communicated by color alone</x:v>
      </x:c>
      <x:c r="C3" s="12" t="str">
        <x:v>Requirement satisfied in browser/PWA</x:v>
      </x:c>
      <x:c r="D3" s="12" t="str">
        <x:v>Not Run</x:v>
      </x:c>
      <x:c r="E3" s="12" t="str"/>
      <x:c r="F3" s="12" t="str"/>
      <x:c r="G3" s="40" t="str"/>
    </x:row>
    <x:row r="4">
      <x:c r="A4" s="12" t="str">
        <x:v>UI003</x:v>
      </x:c>
      <x:c r="B4" s="12" t="str">
        <x:v>Active/degraded/offline device states have text labels as well as colored status circles</x:v>
      </x:c>
      <x:c r="C4" s="12" t="str">
        <x:v>Requirement satisfied in browser/PWA</x:v>
      </x:c>
      <x:c r="D4" s="12" t="str">
        <x:v>Not Run</x:v>
      </x:c>
      <x:c r="E4" s="12" t="str"/>
      <x:c r="F4" s="12" t="str"/>
      <x:c r="G4" s="40" t="str"/>
    </x:row>
    <x:row r="5">
      <x:c r="A5" s="12" t="str">
        <x:v>UI004</x:v>
      </x:c>
      <x:c r="B5" s="12" t="str">
        <x:v>390 px mobile viewport has no horizontal overflow and primary controls remain usable</x:v>
      </x:c>
      <x:c r="C5" s="12" t="str">
        <x:v>Requirement satisfied in browser/PWA</x:v>
      </x:c>
      <x:c r="D5" s="12" t="str">
        <x:v>Not Run</x:v>
      </x:c>
      <x:c r="E5" s="12" t="str"/>
      <x:c r="F5" s="12" t="str"/>
      <x:c r="G5" s="40" t="str"/>
    </x:row>
    <x:row r="6">
      <x:c r="A6" s="12" t="str">
        <x:v>UI005</x:v>
      </x:c>
      <x:c r="B6" s="12" t="str">
        <x:v>Family/caregiver timeline is newest-first and unresolved missing-morning/call incidents remain visible</x:v>
      </x:c>
      <x:c r="C6" s="12" t="str">
        <x:v>Requirement satisfied in browser/PWA</x:v>
      </x:c>
      <x:c r="D6" s="12" t="str">
        <x:v>Not Run</x:v>
      </x:c>
      <x:c r="E6" s="12" t="str"/>
      <x:c r="F6" s="12" t="str"/>
      <x:c r="G6" s="40" t="str"/>
    </x:row>
    <x:row r="7">
      <x:c r="A7" s="12" t="str">
        <x:v>UI006</x:v>
      </x:c>
      <x:c r="B7" s="12" t="str">
        <x:v>Settings values reload after Save and display the new configuration version</x:v>
      </x:c>
      <x:c r="C7" s="12" t="str">
        <x:v>Requirement satisfied in browser/PWA</x:v>
      </x:c>
      <x:c r="D7" s="12" t="str">
        <x:v>Not Run</x:v>
      </x:c>
      <x:c r="E7" s="12" t="str"/>
      <x:c r="F7" s="12" t="str"/>
      <x:c r="G7" s="40" t="str"/>
    </x:row>
    <x:row r="8">
      <x:c r="A8" s="12" t="str">
        <x:v>UI007</x:v>
      </x:c>
      <x:c r="B8" s="12" t="str">
        <x:v>No Privacy ON/OFF control is present in normal household Settings</x:v>
      </x:c>
      <x:c r="C8" s="12" t="str">
        <x:v>Requirement satisfied in browser/PWA</x:v>
      </x:c>
      <x:c r="D8" s="12" t="str">
        <x:v>Not Run</x:v>
      </x:c>
      <x:c r="E8" s="12" t="str"/>
      <x:c r="F8" s="12" t="str"/>
      <x:c r="G8" s="40" t="str"/>
    </x:row>
  </x:sheetData>
  <x:dataValidations count="1">
    <x:dataValidation type="list" sqref="D2:D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33bd7d3a5c46e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8" hidden="0" customWidth="1"/>
    <x:col min="4" max="4" width="65" hidden="0" customWidth="1"/>
    <x:col min="5" max="5" width="34" hidden="0" customWidth="1"/>
    <x:col min="6" max="6" width="18" hidden="0" customWidth="1"/>
    <x:col min="7" max="7" width="18" hidden="0" customWidth="1"/>
    <x:col min="8" max="8" width="16" hidden="0" customWidth="1"/>
    <x:col min="9" max="9" width="40" hidden="0" customWidth="1"/>
  </x:cols>
  <x:sheetData>
    <x:row r="1">
      <x:c r="A1" s="6" t="str">
        <x:v>Gap ID</x:v>
      </x:c>
      <x:c r="B1" s="6" t="str">
        <x:v>Area</x:v>
      </x:c>
      <x:c r="C1" s="6" t="str">
        <x:v>Gate Type</x:v>
      </x:c>
      <x:c r="D1" s="6" t="str">
        <x:v>What is untested / must be validated</x:v>
      </x:c>
      <x:c r="E1" s="6" t="str">
        <x:v>Target Gate</x:v>
      </x:c>
      <x:c r="F1" s="6" t="str">
        <x:v>Current Status</x:v>
      </x:c>
      <x:c r="G1" s="6" t="str">
        <x:v>Owner</x:v>
      </x:c>
      <x:c r="H1" s="6" t="str">
        <x:v>Target Release</x:v>
      </x:c>
      <x:c r="I1" s="6" t="str">
        <x:v>Evidence / Notes</x:v>
      </x:c>
    </x:row>
    <x:row r="2">
      <x:c r="A2" s="12" t="str">
        <x:v>HIL-001</x:v>
      </x:c>
      <x:c r="B2" s="12" t="str">
        <x:v>Real PIR/reed/buttons</x:v>
      </x:c>
      <x:c r="C2" s="12" t="str">
        <x:v>Hardware/HIL</x:v>
      </x:c>
      <x:c r="D2" s="12" t="str">
        <x:v>Debounce, stuck input, electrical noise, mounting, field wiring, button response latency</x:v>
      </x:c>
      <x:c r="E2" s="12" t="str">
        <x:v>Mandatory before unattended pilot</x:v>
      </x:c>
      <x:c r="F2" s="12" t="str">
        <x:v>PENDING</x:v>
      </x:c>
      <x:c r="G2" s="12" t="str"/>
      <x:c r="H2" s="12" t="str"/>
      <x:c r="I2" s="40" t="str"/>
    </x:row>
    <x:row r="3">
      <x:c r="A3" s="12" t="str">
        <x:v>HIL-002</x:v>
      </x:c>
      <x:c r="B3" s="12" t="str">
        <x:v>ESP-NOW RF/RSSI/offline timing</x:v>
      </x:c>
      <x:c r="C3" s="12" t="str">
        <x:v>Hardware/HIL</x:v>
      </x:c>
      <x:c r="D3" s="12" t="str">
        <x:v>Real packet loss, channel coexistence/interference/range, RSSI distribution, missed heartbeats and reconnect</x:v>
      </x:c>
      <x:c r="E3" s="12" t="str">
        <x:v>Mandatory before unattended pilot</x:v>
      </x:c>
      <x:c r="F3" s="12" t="str">
        <x:v>PENDING</x:v>
      </x:c>
      <x:c r="G3" s="12" t="str"/>
      <x:c r="H3" s="12" t="str"/>
      <x:c r="I3" s="40" t="str"/>
    </x:row>
    <x:row r="4">
      <x:c r="A4" s="12" t="str">
        <x:v>HIL-003</x:v>
      </x:c>
      <x:c r="B4" s="12" t="str">
        <x:v>Battery/runtime/charging/UPS</x:v>
      </x:c>
      <x:c r="C4" s="12" t="str">
        <x:v>Hardware/HIL</x:v>
      </x:c>
      <x:c r="D4" s="12" t="str">
        <x:v>ADC calibration, runtime, charge behavior, brown-out under load, UPS handover, low-battery thresholds</x:v>
      </x:c>
      <x:c r="E4" s="12" t="str">
        <x:v>Mandatory before unattended pilot</x:v>
      </x:c>
      <x:c r="F4" s="12" t="str">
        <x:v>PENDING</x:v>
      </x:c>
      <x:c r="G4" s="12" t="str"/>
      <x:c r="H4" s="12" t="str"/>
      <x:c r="I4" s="40" t="str"/>
    </x:row>
    <x:row r="5">
      <x:c r="A5" s="12" t="str">
        <x:v>HIL-004</x:v>
      </x:c>
      <x:c r="B5" s="12" t="str">
        <x:v>Brown-out/reset/watchdog</x:v>
      </x:c>
      <x:c r="C5" s="12" t="str">
        <x:v>Hardware/HIL</x:v>
      </x:c>
      <x:c r="D5" s="12" t="str">
        <x:v>Actual reset reasons, reboot recovery, watchdog behavior and persistent state on target boards</x:v>
      </x:c>
      <x:c r="E5" s="12" t="str">
        <x:v>Mandatory before unattended pilot</x:v>
      </x:c>
      <x:c r="F5" s="12" t="str">
        <x:v>PENDING</x:v>
      </x:c>
      <x:c r="G5" s="12" t="str"/>
      <x:c r="H5" s="12" t="str"/>
      <x:c r="I5" s="40" t="str"/>
    </x:row>
    <x:row r="6">
      <x:c r="A6" s="12" t="str">
        <x:v>HIL-005</x:v>
      </x:c>
      <x:c r="B6" s="12" t="str">
        <x:v>Flash persistence/wear</x:v>
      </x:c>
      <x:c r="C6" s="12" t="str">
        <x:v>Hardware/HIL</x:v>
      </x:c>
      <x:c r="D6" s="12" t="str">
        <x:v>Power-loss atomicity, queue retention, compaction, overflow, wear and durable recovery</x:v>
      </x:c>
      <x:c r="E6" s="12" t="str">
        <x:v>Mandatory before unattended pilot</x:v>
      </x:c>
      <x:c r="F6" s="12" t="str">
        <x:v>PENDING</x:v>
      </x:c>
      <x:c r="G6" s="12" t="str"/>
      <x:c r="H6" s="12" t="str"/>
      <x:c r="I6" s="40" t="str"/>
    </x:row>
    <x:row r="7">
      <x:c r="A7" s="12" t="str">
        <x:v>HIL-006</x:v>
      </x:c>
      <x:c r="B7" s="12" t="str">
        <x:v>OTA signing/rollback</x:v>
      </x:c>
      <x:c r="C7" s="12" t="str">
        <x:v>Hardware/HIL</x:v>
      </x:c>
      <x:c r="D7" s="12" t="str">
        <x:v>Real signature/hash, wrong-board image, interrupted update, rollback and first-boot recovery</x:v>
      </x:c>
      <x:c r="E7" s="12" t="str">
        <x:v>Mandatory before unattended pilot</x:v>
      </x:c>
      <x:c r="F7" s="12" t="str">
        <x:v>PENDING</x:v>
      </x:c>
      <x:c r="G7" s="12" t="str"/>
      <x:c r="H7" s="12" t="str"/>
      <x:c r="I7" s="40" t="str"/>
    </x:row>
    <x:row r="8">
      <x:c r="A8" s="12" t="str">
        <x:v>HIL-007</x:v>
      </x:c>
      <x:c r="B8" s="12" t="str">
        <x:v>Temperature telemetry</x:v>
      </x:c>
      <x:c r="C8" s="12" t="str">
        <x:v>Hardware/HIL</x:v>
      </x:c>
      <x:c r="D8" s="12" t="str">
        <x:v>Real sensor/MCU temperature thresholds and false-positive behavior</x:v>
      </x:c>
      <x:c r="E8" s="12" t="str">
        <x:v>Mandatory before unattended pilot</x:v>
      </x:c>
      <x:c r="F8" s="12" t="str">
        <x:v>PENDING</x:v>
      </x:c>
      <x:c r="G8" s="12" t="str"/>
      <x:c r="H8" s="12" t="str"/>
      <x:c r="I8" s="40" t="str"/>
    </x:row>
    <x:row r="9">
      <x:c r="A9" s="12" t="str">
        <x:v>HIL-008</x:v>
      </x:c>
      <x:c r="B9" s="12" t="str">
        <x:v>Real notification provider</x:v>
      </x:c>
      <x:c r="C9" s="12" t="str">
        <x:v>External integration</x:v>
      </x:c>
      <x:c r="D9" s="12" t="str">
        <x:v>Provider failure/timeout/receipt, duplicate delivery, phone receipt/background restrictions/retry</x:v>
      </x:c>
      <x:c r="E9" s="12" t="str">
        <x:v>Mandatory before unattended pilot</x:v>
      </x:c>
      <x:c r="F9" s="12" t="str">
        <x:v>PENDING</x:v>
      </x:c>
      <x:c r="G9" s="12" t="str"/>
      <x:c r="H9" s="12" t="str"/>
      <x:c r="I9" s="40" t="str"/>
    </x:row>
    <x:row r="10">
      <x:c r="A10" s="12" t="str">
        <x:v>HIL-009</x:v>
      </x:c>
      <x:c r="B10" s="12" t="str">
        <x:v>Installed-home coverage</x:v>
      </x:c>
      <x:c r="C10" s="12" t="str">
        <x:v>Pilot/HIL</x:v>
      </x:c>
      <x:c r="D10" s="12" t="str">
        <x:v>Room placement, dead zones, sensor line-of-sight, router/power conditions, full routine-window coverage</x:v>
      </x:c>
      <x:c r="E10" s="12" t="str">
        <x:v>Mandatory before unattended pilot</x:v>
      </x:c>
      <x:c r="F10" s="12" t="str">
        <x:v>PENDING</x:v>
      </x:c>
      <x:c r="G10" s="12" t="str"/>
      <x:c r="H10" s="12" t="str"/>
      <x:c r="I10" s="40" t="str"/>
    </x:row>
    <x:row r="11">
      <x:c r="A11" s="12" t="str">
        <x:v>GAP-001</x:v>
      </x:c>
      <x:c r="B11" s="12" t="str">
        <x:v>Long-duration soak</x:v>
      </x:c>
      <x:c r="C11" s="12" t="str">
        <x:v>Recommended gap</x:v>
      </x:c>
      <x:c r="D11" s="12" t="str">
        <x:v>24 h / 72 h / multi-week repeated events, retries and storage pressure</x:v>
      </x:c>
      <x:c r="E11" s="12" t="str">
        <x:v>Recommended before pilot</x:v>
      </x:c>
      <x:c r="F11" s="12" t="str">
        <x:v>NOT EXHAUSTIVE</x:v>
      </x:c>
      <x:c r="G11" s="12" t="str"/>
      <x:c r="H11" s="12" t="str"/>
      <x:c r="I11" s="40" t="str"/>
    </x:row>
    <x:row r="12">
      <x:c r="A12" s="12" t="str">
        <x:v>GAP-002</x:v>
      </x:c>
      <x:c r="B12" s="12" t="str">
        <x:v>High-rate bursts and queue saturation</x:v>
      </x:c>
      <x:c r="C12" s="12" t="str">
        <x:v>Recommended gap</x:v>
      </x:c>
      <x:c r="D12" s="12" t="str">
        <x:v>Realistic FreeRTOS scheduling, queue pressure and event bursts on exact ESP32 variants</x:v>
      </x:c>
      <x:c r="E12" s="12" t="str">
        <x:v>Recommended before pilot</x:v>
      </x:c>
      <x:c r="F12" s="12" t="str">
        <x:v>NOT EXHAUSTIVE</x:v>
      </x:c>
      <x:c r="G12" s="12" t="str"/>
      <x:c r="H12" s="12" t="str"/>
      <x:c r="I12" s="40" t="str"/>
    </x:row>
    <x:row r="13">
      <x:c r="A13" s="12" t="str">
        <x:v>GAP-003</x:v>
      </x:c>
      <x:c r="B13" s="12" t="str">
        <x:v>Network jitter/reordering/partial loss</x:v>
      </x:c>
      <x:c r="C13" s="12" t="str">
        <x:v>Recommended gap</x:v>
      </x:c>
      <x:c r="D13" s="12" t="str">
        <x:v>Multi-boundary jitter, reordering and loss beyond deterministic modeled cases</x:v>
      </x:c>
      <x:c r="E13" s="12" t="str">
        <x:v>Recommended before pilot</x:v>
      </x:c>
      <x:c r="F13" s="12" t="str">
        <x:v>NOT EXHAUSTIVE</x:v>
      </x:c>
      <x:c r="G13" s="12" t="str"/>
      <x:c r="H13" s="12" t="str"/>
      <x:c r="I13" s="40" t="str"/>
    </x:row>
    <x:row r="14">
      <x:c r="A14" s="12" t="str">
        <x:v>GAP-004</x:v>
      </x:c>
      <x:c r="B14" s="12" t="str">
        <x:v>Production security/penetration</x:v>
      </x:c>
      <x:c r="C14" s="12" t="str">
        <x:v>Recommended gap</x:v>
      </x:c>
      <x:c r="D14" s="12" t="str">
        <x:v>TLS, production authN/authZ, credential rotation/revocation, endpoint and log review</x:v>
      </x:c>
      <x:c r="E14" s="12" t="str">
        <x:v>Mandatory before production</x:v>
      </x:c>
      <x:c r="F14" s="12" t="str">
        <x:v>NOT EXHAUSTIVE</x:v>
      </x:c>
      <x:c r="G14" s="12" t="str"/>
      <x:c r="H14" s="12" t="str"/>
      <x:c r="I14" s="40" t="str"/>
    </x:row>
    <x:row r="15">
      <x:c r="A15" s="12" t="str">
        <x:v>GAP-005</x:v>
      </x:c>
      <x:c r="B15" s="12" t="str">
        <x:v>Target resource/performance budgets</x:v>
      </x:c>
      <x:c r="C15" s="12" t="str">
        <x:v>Recommended gap</x:v>
      </x:c>
      <x:c r="D15" s="12" t="str">
        <x:v>CPU, RAM, flash, wake time, Wi-Fi/ESP-NOW coexistence and battery current</x:v>
      </x:c>
      <x:c r="E15" s="12" t="str">
        <x:v>Mandatory before pilot</x:v>
      </x:c>
      <x:c r="F15" s="12" t="str">
        <x:v>NOT EXHAUSTIVE</x:v>
      </x:c>
      <x:c r="G15" s="12" t="str"/>
      <x:c r="H15" s="12" t="str"/>
      <x:c r="I15" s="40" t="str"/>
    </x:row>
    <x:row r="16">
      <x:c r="A16" s="12" t="str">
        <x:v>GAP-006</x:v>
      </x:c>
      <x:c r="B16" s="12" t="str">
        <x:v>Accessibility/usability on target devices</x:v>
      </x:c>
      <x:c r="C16" s="12" t="str">
        <x:v>Recommended gap</x:v>
      </x:c>
      <x:c r="D16" s="12" t="str">
        <x:v>Target caregivers/residents, Android/browser matrix and accessibility comprehension</x:v>
      </x:c>
      <x:c r="E16" s="12" t="str">
        <x:v>Recommended before pilot</x:v>
      </x:c>
      <x:c r="F16" s="12" t="str">
        <x:v>NOT EXHAUSTIVE</x:v>
      </x:c>
      <x:c r="G16" s="12" t="str"/>
      <x:c r="H16" s="12" t="str"/>
      <x:c r="I16" s="40" t="str"/>
    </x:row>
    <x:row r="17">
      <x:c r="A17" s="12" t="str">
        <x:v>GAP-007</x:v>
      </x:c>
      <x:c r="B17" s="12" t="str">
        <x:v>Persistent backend DB operations</x:v>
      </x:c>
      <x:c r="C17" s="12" t="str">
        <x:v>Recommended gap</x:v>
      </x:c>
      <x:c r="D17" s="12" t="str">
        <x:v>Concurrency, crash consistency, migrations, upgrade/rollback, backup/restore</x:v>
      </x:c>
      <x:c r="E17" s="12" t="str">
        <x:v>Before production backend</x:v>
      </x:c>
      <x:c r="F17" s="12" t="str">
        <x:v>NOT EXHAUSTIVE</x:v>
      </x:c>
      <x:c r="G17" s="12" t="str"/>
      <x:c r="H17" s="12" t="str"/>
      <x:c r="I17" s="40" t="str"/>
    </x:row>
    <x:row r="18">
      <x:c r="A18" s="12" t="str">
        <x:v>GAP-008</x:v>
      </x:c>
      <x:c r="B18" s="12" t="str">
        <x:v>Timezone/DST exhaustive coverage</x:v>
      </x:c>
      <x:c r="C18" s="12" t="str">
        <x:v>Recommended gap</x:v>
      </x:c>
      <x:c r="D18" s="12" t="str">
        <x:v>Non-India deployments, DST transitions, clock rollback/uncertainty boundaries</x:v>
      </x:c>
      <x:c r="E18" s="12" t="str">
        <x:v>Before non-India rollout</x:v>
      </x:c>
      <x:c r="F18" s="12" t="str">
        <x:v>NOT EXHAUSTIVE</x:v>
      </x:c>
      <x:c r="G18" s="12" t="str"/>
      <x:c r="H18" s="12" t="str"/>
      <x:c r="I18" s="40" t="str"/>
    </x:row>
  </x:sheetData>
  <x:conditionalFormatting sqref="F2:F18">
    <x:cfRule type="expression" dxfId="5" priority="1">
      <x:formula>F2="PENDING"</x:formula>
    </x:cfRule>
    <x:cfRule type="expression" dxfId="6" priority="2">
      <x:formula>F2="NOT EXHAUSTIVE"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30a90573e4497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8" hidden="0" customWidth="1"/>
    <x:col min="4" max="4" width="18" hidden="0" customWidth="1"/>
    <x:col min="5" max="5" width="16" hidden="0" customWidth="1"/>
    <x:col min="6" max="6" width="14" hidden="0" customWidth="1"/>
    <x:col min="7" max="7" width="18" hidden="0" customWidth="1"/>
    <x:col min="8" max="8" width="14" hidden="0" customWidth="1"/>
  </x:cols>
  <x:sheetData>
    <x:row r="1">
      <x:c r="A1" s="6" t="str">
        <x:v>Test ID</x:v>
      </x:c>
      <x:c r="B1" s="6" t="str">
        <x:v>Device</x:v>
      </x:c>
      <x:c r="C1" s="6" t="str">
        <x:v>Fault</x:v>
      </x:c>
      <x:c r="D1" s="6" t="str">
        <x:v>Expected Health</x:v>
      </x:c>
      <x:c r="E1" s="6" t="str">
        <x:v>Expected Active</x:v>
      </x:c>
      <x:c r="F1" s="6" t="str">
        <x:v>Error Code</x:v>
      </x:c>
      <x:c r="G1" s="6" t="str">
        <x:v>Recovery Expected</x:v>
      </x:c>
      <x:c r="H1" s="6" t="str">
        <x:v>Current Status</x:v>
      </x:c>
    </x:row>
    <x:row r="2">
      <x:c r="A2" s="12" t="str">
        <x:v>M058</x:v>
      </x:c>
      <x:c r="B2" s="12" t="str"/>
      <x:c r="C2" s="12" t="str">
        <x:v>LOW_BATTERY</x:v>
      </x:c>
      <x:c r="D2" s="12" t="str">
        <x:v>DEGRADED</x:v>
      </x:c>
      <x:c r="E2" s="16" t="b">
        <x:v>1</x:v>
      </x:c>
      <x:c r="F2" s="12" t="str">
        <x:v>GS-N001</x:v>
      </x:c>
      <x:c r="G2" s="12" t="str">
        <x:v>No</x:v>
      </x:c>
      <x:c r="H2" s="40" t="str">
        <x:v>PASS</x:v>
      </x:c>
    </x:row>
    <x:row r="3">
      <x:c r="A3" s="12" t="str">
        <x:v>M059</x:v>
      </x:c>
      <x:c r="B3" s="12" t="str"/>
      <x:c r="C3" s="12" t="str">
        <x:v>BATTERY_DEPLETED</x:v>
      </x:c>
      <x:c r="D3" s="12" t="str">
        <x:v>OFFLINE</x:v>
      </x:c>
      <x:c r="E3" s="16" t="b">
        <x:v>0</x:v>
      </x:c>
      <x:c r="F3" s="12" t="str">
        <x:v>GS-N002</x:v>
      </x:c>
      <x:c r="G3" s="12" t="str">
        <x:v>No</x:v>
      </x:c>
      <x:c r="H3" s="40" t="str">
        <x:v>PASS</x:v>
      </x:c>
    </x:row>
    <x:row r="4">
      <x:c r="A4" s="12" t="str">
        <x:v>M060</x:v>
      </x:c>
      <x:c r="B4" s="12" t="str"/>
      <x:c r="C4" s="12" t="str">
        <x:v>LINK_LOSS</x:v>
      </x:c>
      <x:c r="D4" s="12" t="str">
        <x:v>ACTIVE</x:v>
      </x:c>
      <x:c r="E4" s="16" t="b">
        <x:v>1</x:v>
      </x:c>
      <x:c r="F4" s="12" t="str">
        <x:v>GS-OK000</x:v>
      </x:c>
      <x:c r="G4" s="12" t="str">
        <x:v>Yes</x:v>
      </x:c>
      <x:c r="H4" s="40" t="str">
        <x:v>PASS</x:v>
      </x:c>
    </x:row>
    <x:row r="5">
      <x:c r="A5" s="12" t="str">
        <x:v>M061</x:v>
      </x:c>
      <x:c r="B5" s="12" t="str"/>
      <x:c r="C5" s="12" t="str">
        <x:v>SENSOR_FAULT</x:v>
      </x:c>
      <x:c r="D5" s="12" t="str">
        <x:v>DEGRADED</x:v>
      </x:c>
      <x:c r="E5" s="16" t="b">
        <x:v>1</x:v>
      </x:c>
      <x:c r="F5" s="12" t="str">
        <x:v>GS-N004</x:v>
      </x:c>
      <x:c r="G5" s="12" t="str">
        <x:v>No</x:v>
      </x:c>
      <x:c r="H5" s="40" t="str">
        <x:v>PASS</x:v>
      </x:c>
    </x:row>
    <x:row r="6">
      <x:c r="A6" s="12" t="str">
        <x:v>M062</x:v>
      </x:c>
      <x:c r="B6" s="12" t="str"/>
      <x:c r="C6" s="12" t="str">
        <x:v>OVER_TEMP</x:v>
      </x:c>
      <x:c r="D6" s="12" t="str">
        <x:v>OFFLINE</x:v>
      </x:c>
      <x:c r="E6" s="16" t="b">
        <x:v>0</x:v>
      </x:c>
      <x:c r="F6" s="12" t="str">
        <x:v>GS-N005</x:v>
      </x:c>
      <x:c r="G6" s="12" t="str">
        <x:v>No</x:v>
      </x:c>
      <x:c r="H6" s="40" t="str">
        <x:v>PASS</x:v>
      </x:c>
    </x:row>
    <x:row r="7">
      <x:c r="A7" s="12" t="str">
        <x:v>M063</x:v>
      </x:c>
      <x:c r="B7" s="12" t="str"/>
      <x:c r="C7" s="12" t="str">
        <x:v>WATCHDOG</x:v>
      </x:c>
      <x:c r="D7" s="12" t="str">
        <x:v>ACTIVE</x:v>
      </x:c>
      <x:c r="E7" s="16" t="b">
        <x:v>1</x:v>
      </x:c>
      <x:c r="F7" s="12" t="str">
        <x:v>GS-OK000</x:v>
      </x:c>
      <x:c r="G7" s="12" t="str">
        <x:v>Yes</x:v>
      </x:c>
      <x:c r="H7" s="40" t="str">
        <x:v>PASS</x:v>
      </x:c>
    </x:row>
    <x:row r="8">
      <x:c r="A8" s="12" t="str">
        <x:v>M064</x:v>
      </x:c>
      <x:c r="B8" s="12" t="str"/>
      <x:c r="C8" s="12" t="str">
        <x:v>POWER_LOSS</x:v>
      </x:c>
      <x:c r="D8" s="12" t="str">
        <x:v>OFFLINE</x:v>
      </x:c>
      <x:c r="E8" s="16" t="b">
        <x:v>0</x:v>
      </x:c>
      <x:c r="F8" s="12" t="str">
        <x:v>GS-H001</x:v>
      </x:c>
      <x:c r="G8" s="12" t="str">
        <x:v>No</x:v>
      </x:c>
      <x:c r="H8" s="40" t="str">
        <x:v>PASS</x:v>
      </x:c>
    </x:row>
    <x:row r="9">
      <x:c r="A9" s="12" t="str">
        <x:v>M065</x:v>
      </x:c>
      <x:c r="B9" s="12" t="str"/>
      <x:c r="C9" s="12" t="str">
        <x:v>NODE_RADIO_FAILURE</x:v>
      </x:c>
      <x:c r="D9" s="12" t="str">
        <x:v>ACTIVE</x:v>
      </x:c>
      <x:c r="E9" s="16" t="b">
        <x:v>1</x:v>
      </x:c>
      <x:c r="F9" s="12" t="str">
        <x:v>GS-OK000</x:v>
      </x:c>
      <x:c r="G9" s="12" t="str">
        <x:v>Yes</x:v>
      </x:c>
      <x:c r="H9" s="40" t="str">
        <x:v>PASS</x:v>
      </x:c>
    </x:row>
    <x:row r="10">
      <x:c r="A10" s="12" t="str">
        <x:v>M066</x:v>
      </x:c>
      <x:c r="B10" s="12" t="str"/>
      <x:c r="C10" s="12" t="str">
        <x:v>INTERNET_LOSS</x:v>
      </x:c>
      <x:c r="D10" s="12" t="str">
        <x:v>DEGRADED</x:v>
      </x:c>
      <x:c r="E10" s="16" t="b">
        <x:v>1</x:v>
      </x:c>
      <x:c r="F10" s="12" t="str">
        <x:v>GS-H003</x:v>
      </x:c>
      <x:c r="G10" s="12" t="str">
        <x:v>No</x:v>
      </x:c>
      <x:c r="H10" s="40" t="str">
        <x:v>PASS</x:v>
      </x:c>
    </x:row>
    <x:row r="11">
      <x:c r="A11" s="12" t="str">
        <x:v>M067</x:v>
      </x:c>
      <x:c r="B11" s="12" t="str"/>
      <x:c r="C11" s="12" t="str">
        <x:v>OVER_TEMP</x:v>
      </x:c>
      <x:c r="D11" s="12" t="str">
        <x:v>OFFLINE</x:v>
      </x:c>
      <x:c r="E11" s="16" t="b">
        <x:v>0</x:v>
      </x:c>
      <x:c r="F11" s="12" t="str">
        <x:v>GS-H004</x:v>
      </x:c>
      <x:c r="G11" s="12" t="str">
        <x:v>No</x:v>
      </x:c>
      <x:c r="H11" s="40" t="str">
        <x:v>PASS</x:v>
      </x:c>
    </x:row>
    <x:row r="12">
      <x:c r="A12" s="12" t="str">
        <x:v>M068</x:v>
      </x:c>
      <x:c r="B12" s="12" t="str"/>
      <x:c r="C12" s="12" t="str">
        <x:v>WATCHDOG</x:v>
      </x:c>
      <x:c r="D12" s="12" t="str">
        <x:v>ACTIVE</x:v>
      </x:c>
      <x:c r="E12" s="16" t="b">
        <x:v>1</x:v>
      </x:c>
      <x:c r="F12" s="12" t="str">
        <x:v>GS-OK000</x:v>
      </x:c>
      <x:c r="G12" s="12" t="str">
        <x:v>Yes</x:v>
      </x:c>
      <x:c r="H12" s="40" t="str">
        <x:v>PASS</x:v>
      </x:c>
    </x:row>
  </x:sheetData>
  <x:conditionalFormatting sqref="H2:H12">
    <x:cfRule type="expression" dxfId="7" priority="1">
      <x:formula>H2="PASS"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9aedd52f494495"/>
  </x:tableParts>
</x:worksheet>
</file>