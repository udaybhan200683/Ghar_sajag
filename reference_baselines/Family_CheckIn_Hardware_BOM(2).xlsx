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P32Dev\Downloads\"/>
    </mc:Choice>
  </mc:AlternateContent>
  <bookViews>
    <workbookView xWindow="0" yWindow="0" windowWidth="28800" windowHeight="12300"/>
  </bookViews>
  <sheets>
    <sheet name="Summary" sheetId="1" r:id="rId1"/>
    <sheet name="Purchase BOM" sheetId="2" r:id="rId2"/>
    <sheet name="Commercial Alternatives" sheetId="3" r:id="rId3"/>
    <sheet name="Wiring Guide" sheetId="5" r:id="rId4"/>
  </sheets>
  <calcPr calcId="162913"/>
</workbook>
</file>

<file path=xl/calcChain.xml><?xml version="1.0" encoding="utf-8"?>
<calcChain xmlns="http://schemas.openxmlformats.org/spreadsheetml/2006/main">
  <c r="J48" i="2" l="1"/>
  <c r="I48" i="2"/>
  <c r="M48" i="2" s="1"/>
  <c r="J47" i="2"/>
  <c r="I47" i="2"/>
  <c r="M47" i="2" s="1"/>
  <c r="J46" i="2"/>
  <c r="I46" i="2"/>
  <c r="M46" i="2" s="1"/>
  <c r="J45" i="2"/>
  <c r="I45" i="2"/>
  <c r="M45" i="2" s="1"/>
  <c r="J44" i="2"/>
  <c r="I44" i="2"/>
  <c r="M44" i="2" s="1"/>
  <c r="J43" i="2"/>
  <c r="I43" i="2"/>
  <c r="M43" i="2" s="1"/>
  <c r="J42" i="2"/>
  <c r="I42" i="2"/>
  <c r="M42" i="2" s="1"/>
  <c r="J41" i="2"/>
  <c r="I41" i="2"/>
  <c r="M41" i="2" s="1"/>
  <c r="J40" i="2"/>
  <c r="I40" i="2"/>
  <c r="M40" i="2" s="1"/>
  <c r="J39" i="2"/>
  <c r="I39" i="2"/>
  <c r="M39" i="2" s="1"/>
  <c r="J38" i="2"/>
  <c r="I38" i="2"/>
  <c r="M38" i="2" s="1"/>
  <c r="J37" i="2"/>
  <c r="I37" i="2"/>
  <c r="M37" i="2" s="1"/>
  <c r="J36" i="2"/>
  <c r="I36" i="2"/>
  <c r="M36" i="2" s="1"/>
  <c r="J35" i="2"/>
  <c r="I35" i="2"/>
  <c r="M35" i="2" s="1"/>
  <c r="J34" i="2"/>
  <c r="I34" i="2"/>
  <c r="M34" i="2" s="1"/>
  <c r="J33" i="2"/>
  <c r="I33" i="2"/>
  <c r="M33" i="2" s="1"/>
  <c r="J32" i="2"/>
  <c r="I32" i="2"/>
  <c r="M32" i="2" s="1"/>
  <c r="J31" i="2"/>
  <c r="I31" i="2"/>
  <c r="M31" i="2" s="1"/>
  <c r="J30" i="2"/>
  <c r="I30" i="2"/>
  <c r="M30" i="2" s="1"/>
  <c r="J29" i="2"/>
  <c r="I29" i="2"/>
  <c r="M29" i="2" s="1"/>
  <c r="J28" i="2"/>
  <c r="I28" i="2"/>
  <c r="M28" i="2" s="1"/>
  <c r="J27" i="2"/>
  <c r="I27" i="2"/>
  <c r="M27" i="2" s="1"/>
  <c r="J26" i="2"/>
  <c r="I26" i="2"/>
  <c r="M26" i="2" s="1"/>
  <c r="J25" i="2"/>
  <c r="I25" i="2"/>
  <c r="M25" i="2" s="1"/>
  <c r="J24" i="2"/>
  <c r="I24" i="2"/>
  <c r="M24" i="2" s="1"/>
  <c r="J23" i="2"/>
  <c r="I23" i="2"/>
  <c r="M23" i="2" s="1"/>
  <c r="J22" i="2"/>
  <c r="I22" i="2"/>
  <c r="M22" i="2" s="1"/>
  <c r="J21" i="2"/>
  <c r="I21" i="2"/>
  <c r="M21" i="2" s="1"/>
  <c r="J20" i="2"/>
  <c r="I20" i="2"/>
  <c r="M20" i="2" s="1"/>
  <c r="J19" i="2"/>
  <c r="I19" i="2"/>
  <c r="M19" i="2" s="1"/>
  <c r="J18" i="2"/>
  <c r="I18" i="2"/>
  <c r="M18" i="2" s="1"/>
  <c r="J17" i="2"/>
  <c r="I17" i="2"/>
  <c r="M17" i="2" s="1"/>
  <c r="J16" i="2"/>
  <c r="I16" i="2"/>
  <c r="M16" i="2" s="1"/>
  <c r="J15" i="2"/>
  <c r="I15" i="2"/>
  <c r="M15" i="2" s="1"/>
  <c r="J14" i="2"/>
  <c r="I14" i="2"/>
  <c r="M14" i="2" s="1"/>
  <c r="J13" i="2"/>
  <c r="I13" i="2"/>
  <c r="M13" i="2" s="1"/>
  <c r="J12" i="2"/>
  <c r="I12" i="2"/>
  <c r="M12" i="2" s="1"/>
  <c r="J11" i="2"/>
  <c r="I11" i="2"/>
  <c r="M11" i="2" s="1"/>
  <c r="J10" i="2"/>
  <c r="I10" i="2"/>
  <c r="M10" i="2" s="1"/>
  <c r="J9" i="2"/>
  <c r="I9" i="2"/>
  <c r="M9" i="2" s="1"/>
  <c r="J8" i="2"/>
  <c r="I8" i="2"/>
  <c r="M8" i="2" s="1"/>
  <c r="C6" i="1"/>
  <c r="E6" i="1" l="1"/>
</calcChain>
</file>

<file path=xl/sharedStrings.xml><?xml version="1.0" encoding="utf-8"?>
<sst xmlns="http://schemas.openxmlformats.org/spreadsheetml/2006/main" count="759" uniqueCount="600">
  <si>
    <t>Family Check-In Hardware Plan</t>
  </si>
  <si>
    <t>Purchase and commercial-upgrade summary • Updated 2026-09-04</t>
  </si>
  <si>
    <t>BASE DEVICES</t>
  </si>
  <si>
    <t>BATTERIES TO BUY</t>
  </si>
  <si>
    <t>EST. BASE PURCHASE (₹)</t>
  </si>
  <si>
    <t>DEDICATED GATE DEVICES</t>
  </si>
  <si>
    <t>Configuration assumptions</t>
  </si>
  <si>
    <t>1</t>
  </si>
  <si>
    <t>Hub sits centrally in the common/dining area and includes one AM312 PIR.</t>
  </si>
  <si>
    <t>2</t>
  </si>
  <si>
    <t>Four base nodes cover Room 1, pooja/balcony, kitchen and the primarily used bathroom.</t>
  </si>
  <si>
    <t>3</t>
  </si>
  <si>
    <t>A fully independent main-door/gate node raises the node count from four to five and total 18650 count from six to seven.</t>
  </si>
  <si>
    <t>4</t>
  </si>
  <si>
    <t>Base battery requirement is six cells: two matched cells in the hub and one cell per node. You own four, so buy two more.</t>
  </si>
  <si>
    <t>5</t>
  </si>
  <si>
    <t>ESP-NOW handles node-to-hub communication; home Wi-Fi handles hub-to-dashboard. No separate radio module is required.</t>
  </si>
  <si>
    <t>6</t>
  </si>
  <si>
    <t>The first prototype uses a buzzer and physical OK buttons. Voice prompts, temperature, humidity and smoke sensing remain P1.</t>
  </si>
  <si>
    <t>Purchase decisions</t>
  </si>
  <si>
    <t>BUY NOW</t>
  </si>
  <si>
    <t>ESP32-C3 boards, AM312 sensors, one dual V8 hub shield, four single-cell node shields, two additional matched cells, door contact, buttons, assembly consumables, 3m 22AWG red/black power cable and 2m multicolour ribbon cable.</t>
  </si>
  <si>
    <t>USE NOW</t>
  </si>
  <si>
    <t>Direct mobile-charger power is acceptable while developing hub software. The V8 shield supplies temporary battery operation but is not a verified seamless UPS.</t>
  </si>
  <si>
    <t>LX-2BUPS</t>
  </si>
  <si>
    <t>Evaluate one unit after restock. Use only on the hub and only after power-transfer, battery-cutoff, thermal, EMI and short-circuit testing.</t>
  </si>
  <si>
    <t>DO NOT DUPLICATE</t>
  </si>
  <si>
    <t>For each node choose the single-cell shield OR holder + TP4056 + TPS63020. Do not purchase both power paths for one node.</t>
  </si>
  <si>
    <t>BUY LATER</t>
  </si>
  <si>
    <t>Cases and permanent wall mounts only after measuring the assembled perfboards, connectors, cable bend radius and PIR-lens positions.</t>
  </si>
  <si>
    <t>DO NOT BUY P0</t>
  </si>
  <si>
    <t>Smoke/gas sensor, temperature/humidity sensor, mmWave sensor, camera, microphone, microSD and speaker parts are outside the first prototype.</t>
  </si>
  <si>
    <t>Commercial reminder: LX-2BUPS is a low-cost module to qualify for a pilot—not a guaranteed final commercial power design. The final production choice should use a locked supplier/PCB revision or a traceable power-path design with a certified, inaccessible battery pack.</t>
  </si>
  <si>
    <t>Family Check-In / Home Risk — Complete Hardware Purchase BOM</t>
  </si>
  <si>
    <t>Configuration: one ESP32 hub + four sensor nodes. Prices checked/estimated 2026-09-04; shipping and unlisted taxes are excluded.</t>
  </si>
  <si>
    <t>Gate Qty adds one independent wireless door node. If the door contact can use a short cable to an existing node, use Base Qty instead.</t>
  </si>
  <si>
    <t>Editable inputs are Already Have and Unit Price. Buy quantities and purchase cost update automatically.</t>
  </si>
  <si>
    <t>ID</t>
  </si>
  <si>
    <t>Device</t>
  </si>
  <si>
    <t>Category</t>
  </si>
  <si>
    <t>Component</t>
  </si>
  <si>
    <t>Prototype selection / purpose</t>
  </si>
  <si>
    <t>Base Qty
1 hub + 4 nodes</t>
  </si>
  <si>
    <t>Gate Qty
+ dedicated node</t>
  </si>
  <si>
    <t>Already Have</t>
  </si>
  <si>
    <t>Buy Base</t>
  </si>
  <si>
    <t>Buy Gate</t>
  </si>
  <si>
    <t>Priority</t>
  </si>
  <si>
    <t>Unit Price ₹</t>
  </si>
  <si>
    <t>Base Purchase ₹</t>
  </si>
  <si>
    <t>Price Basis / Stock Note</t>
  </si>
  <si>
    <t>Purchase / Source URL</t>
  </si>
  <si>
    <t>Safety and Design Notes</t>
  </si>
  <si>
    <t>Commercial Map ID</t>
  </si>
  <si>
    <t>HUB-CTRL-01</t>
  </si>
  <si>
    <t>Hub</t>
  </si>
  <si>
    <t>Controller</t>
  </si>
  <si>
    <t>ESP32 DevKit V1, 30-pin</t>
  </si>
  <si>
    <t>Existing central controller; Wi-Fi + ESP-NOW</t>
  </si>
  <si>
    <t>P0</t>
  </si>
  <si>
    <t>Estimate / already owned</t>
  </si>
  <si>
    <t>Power through USB or regulated 5V/VIN only.</t>
  </si>
  <si>
    <t>C-CTRL-HUB</t>
  </si>
  <si>
    <t>NODE-CTRL-01</t>
  </si>
  <si>
    <t>Nodes</t>
  </si>
  <si>
    <t>ESP32-C3 SuperMini with soldered male headers</t>
  </si>
  <si>
    <t>One controller per wireless sensor node</t>
  </si>
  <si>
    <t>Budget estimate; enter cart price</t>
  </si>
  <si>
    <t>https://robu.in/product/esp32-c3-development-board-with-soldering/</t>
  </si>
  <si>
    <t>GPIO is 3.3V only. Gate configuration adds one node.</t>
  </si>
  <si>
    <t>C-CTRL-NODE</t>
  </si>
  <si>
    <t>SYS-PIR-01</t>
  </si>
  <si>
    <t>Hub + Nodes</t>
  </si>
  <si>
    <t>Sensor</t>
  </si>
  <si>
    <t>SmartElex AM312 PIR with lens</t>
  </si>
  <si>
    <t>Hub/common room + Room 1 + pooja + kitchen + primary bathroom</t>
  </si>
  <si>
    <t>Robocraze listed price incl. GST; only 3 shown in stock on verification date</t>
  </si>
  <si>
    <t>https://robocraze.com/products/smartelex-am312-pir-motion-sensor</t>
  </si>
  <si>
    <t>Base design needs five. Split the order or source two identical AM312 modules elsewhere if stock remains limited.</t>
  </si>
  <si>
    <t>C-PIR</t>
  </si>
  <si>
    <t>DOOR-01</t>
  </si>
  <si>
    <t>Main door</t>
  </si>
  <si>
    <t>MC-38 wired magnetic door contact</t>
  </si>
  <si>
    <t>Door open/closed state</t>
  </si>
  <si>
    <t>https://robu.in/product/mc-38-wired-door-window-sensor-magnetic-switch-home-alarm-system/</t>
  </si>
  <si>
    <t>Requires a nearby node or a short cable. A dedicated wireless gate node is reflected in Gate Qty.</t>
  </si>
  <si>
    <t>C-DOOR</t>
  </si>
  <si>
    <t>BTN-01</t>
  </si>
  <si>
    <t>Hub + Room 1</t>
  </si>
  <si>
    <t>Input</t>
  </si>
  <si>
    <t>Large momentary push-button module, 5-piece set</t>
  </si>
  <si>
    <t>Use one on hub and one in Room 1; remaining pieces are spares</t>
  </si>
  <si>
    <t>https://quartzcomponents.com/collections/all/products/5pcs-set-electronic-building-blocks-big-key-button-module</t>
  </si>
  <si>
    <t>Use physical buttons for acknowledgement; touch sensor is not the only OK input.</t>
  </si>
  <si>
    <t>C-BUTTON</t>
  </si>
  <si>
    <t>ALERT-01</t>
  </si>
  <si>
    <t>Alert</t>
  </si>
  <si>
    <t>Active 2-pin buzzer</t>
  </si>
  <si>
    <t>Audible check-in and fault alert</t>
  </si>
  <si>
    <t>Already owned</t>
  </si>
  <si>
    <t>Continuous tone on DC indicates an active buzzer. Do not drive a speaker from this circuit.</t>
  </si>
  <si>
    <t>C-BUZZER</t>
  </si>
  <si>
    <t>DRV-01</t>
  </si>
  <si>
    <t>Driver</t>
  </si>
  <si>
    <t>BC547 NPN transistor pack</t>
  </si>
  <si>
    <t>GPIO-controlled buzzer driver</t>
  </si>
  <si>
    <t>https://robu.in/product/bc547-npn-transistor-pack-of-20/</t>
  </si>
  <si>
    <t>Check transistor pinout; one transistor is used and the rest are spares.</t>
  </si>
  <si>
    <t>C-TRANSISTOR</t>
  </si>
  <si>
    <t>R-BASE-01</t>
  </si>
  <si>
    <t>Passive</t>
  </si>
  <si>
    <t>1k ohm, 1/4W resistor pack</t>
  </si>
  <si>
    <t>BC547 base-current limiting</t>
  </si>
  <si>
    <t>Budget estimate</t>
  </si>
  <si>
    <t>One resistor used.</t>
  </si>
  <si>
    <t>C-PASSIVES</t>
  </si>
  <si>
    <t>R-PD-01</t>
  </si>
  <si>
    <t>10k ohm, 1/4W resistor pack</t>
  </si>
  <si>
    <t>Stable button, reed and transistor input states</t>
  </si>
  <si>
    <t>Internal pull-ups can be used during bench testing; external parts improve robustness.</t>
  </si>
  <si>
    <t>D-FLY-01</t>
  </si>
  <si>
    <t>Protection</t>
  </si>
  <si>
    <t>1N4148 or 1N4007 diode pack</t>
  </si>
  <si>
    <t>Flyback protection for electromagnetic buzzer</t>
  </si>
  <si>
    <t>Optional for piezo buzzer; install if buzzer type is uncertain.</t>
  </si>
  <si>
    <t>C-PROTECTION</t>
  </si>
  <si>
    <t>LED-01</t>
  </si>
  <si>
    <t>Indicator</t>
  </si>
  <si>
    <t>Red + green 3mm/5mm LEDs</t>
  </si>
  <si>
    <t>External fault/normal status</t>
  </si>
  <si>
    <t>Use two LEDs or one RGB LED.</t>
  </si>
  <si>
    <t>C-INDICATOR</t>
  </si>
  <si>
    <t>R-LED-01</t>
  </si>
  <si>
    <t>220-330 ohm resistor pack</t>
  </si>
  <si>
    <t>LED current limiting</t>
  </si>
  <si>
    <t>One resistor per LED channel.</t>
  </si>
  <si>
    <t>OLED-01</t>
  </si>
  <si>
    <t>Display</t>
  </si>
  <si>
    <t>0.96-inch SSD1306 I2C OLED</t>
  </si>
  <si>
    <t>Local status, node health and acknowledgement prompts</t>
  </si>
  <si>
    <t>Use 3.3V I2C logic; select safe GPIOs in firmware.</t>
  </si>
  <si>
    <t>C-DISPLAY</t>
  </si>
  <si>
    <t>PWR-HUB-01</t>
  </si>
  <si>
    <t>Power</t>
  </si>
  <si>
    <t>Dual-18650 V8 shield, 5V output</t>
  </si>
  <si>
    <t>Temporary battery supply for prototype hub</t>
  </si>
  <si>
    <t>Quartz listed price</t>
  </si>
  <si>
    <t>https://quartzcomponents.com/products/2-x-18650-battery-shield-module-for-arduino-esp8266-and-raspberry-pi</t>
  </si>
  <si>
    <t>Not documented as seamless UPS. Charge hub switched off until tested.</t>
  </si>
  <si>
    <t>C-HUB-POWER</t>
  </si>
  <si>
    <t>PWR-NODE-01</t>
  </si>
  <si>
    <t>Single-18650 shield with charger/protection and 5V output</t>
  </si>
  <si>
    <t>Fastest prototype power path; one per node</t>
  </si>
  <si>
    <t>Quartz listed price; only 6 shown in stock on verification date</t>
  </si>
  <si>
    <t>https://quartzcomponents.com/products/18650-battery-shield-module-for-arduino-esp8266-and-raspberry-pi</t>
  </si>
  <si>
    <t>Do not also buy TP4056 + TPS63020 for the same node. Measure standby current.</t>
  </si>
  <si>
    <t>C-NODE-POWER</t>
  </si>
  <si>
    <t>BAT-01</t>
  </si>
  <si>
    <t>System</t>
  </si>
  <si>
    <t>Battery</t>
  </si>
  <si>
    <t>DMEGC 3.7V 2900mAh 18650 cell</t>
  </si>
  <si>
    <t>Two matched cells for hub and one per node</t>
  </si>
  <si>
    <t>Budget estimate; user owns four</t>
  </si>
  <si>
    <t>Buy two more for base system. Use a new matched pair in hub; never mix cell charge levels in parallel.</t>
  </si>
  <si>
    <t>C-BATTERY</t>
  </si>
  <si>
    <t>CHG-01</t>
  </si>
  <si>
    <t>External power</t>
  </si>
  <si>
    <t>BIS-certified 5V/2A USB mobile charger</t>
  </si>
  <si>
    <t>Hub power and V8 shield charging</t>
  </si>
  <si>
    <t>Existing charger assumed; verify 5V rating</t>
  </si>
  <si>
    <t>Do not use damaged or unbranded mains adapters.</t>
  </si>
  <si>
    <t>C-ADAPTER</t>
  </si>
  <si>
    <t>CAB-CHG-01</t>
  </si>
  <si>
    <t>Cable</t>
  </si>
  <si>
    <t>Short Micro-USB charging cable</t>
  </si>
  <si>
    <t>V8 shield charging input</t>
  </si>
  <si>
    <t>Use a cable that is not sharply bent inside the case.</t>
  </si>
  <si>
    <t>C-CABLE</t>
  </si>
  <si>
    <t>CAB-C3-01</t>
  </si>
  <si>
    <t>Development</t>
  </si>
  <si>
    <t>USB-C data cable</t>
  </si>
  <si>
    <t>Initial flashing and recovery of ESP32-C3 nodes</t>
  </si>
  <si>
    <t>OTA can handle routine updates, but retain physical programming access.</t>
  </si>
  <si>
    <t>C-TEST</t>
  </si>
  <si>
    <t>CAB-HUB-01</t>
  </si>
  <si>
    <t>Micro-USB data cable for ESP32 DevKit</t>
  </si>
  <si>
    <t>Initial hub flashing and recovery</t>
  </si>
  <si>
    <t>Confirm it is a data cable, not charge-only.</t>
  </si>
  <si>
    <t>CAP-BULK-01</t>
  </si>
  <si>
    <t>100uF electrolytic capacitor pack, &gt;=10V</t>
  </si>
  <si>
    <t>Local supply support during ESP32 radio-current bursts</t>
  </si>
  <si>
    <t>Install one near each board; observe polarity.</t>
  </si>
  <si>
    <t>CAP-DECOUP-01</t>
  </si>
  <si>
    <t>100nF ceramic capacitor pack</t>
  </si>
  <si>
    <t>High-frequency decoupling near sensors and controllers</t>
  </si>
  <si>
    <t>Install near supply pins.</t>
  </si>
  <si>
    <t>BMON-01</t>
  </si>
  <si>
    <t>Battery monitoring</t>
  </si>
  <si>
    <t>220k + 100k resistor-divider sets and 100nF capacitors</t>
  </si>
  <si>
    <t>Firmware-visible low-battery warning</t>
  </si>
  <si>
    <t>P0 recommended</t>
  </si>
  <si>
    <t>Per-device estimate</t>
  </si>
  <si>
    <t>Connect only through a divider to an ADC pin; never put raw 4.2V on GPIO.</t>
  </si>
  <si>
    <t>C-FUELGAUGE</t>
  </si>
  <si>
    <t>PCB-HUB-01</t>
  </si>
  <si>
    <t>Assembly</t>
  </si>
  <si>
    <t>General-purpose perfboard</t>
  </si>
  <si>
    <t>Mount hub circuitry</t>
  </si>
  <si>
    <t>Choose size after arranging DevKit, OLED and power connectors.</t>
  </si>
  <si>
    <t>C-PCB</t>
  </si>
  <si>
    <t>PCB-NODE-01</t>
  </si>
  <si>
    <t>One per sensor node</t>
  </si>
  <si>
    <t>Cut only after testing the circuit on a breadboard.</t>
  </si>
  <si>
    <t>HDR-01</t>
  </si>
  <si>
    <t>2.54mm breakable female header, 40-pin strip</t>
  </si>
  <si>
    <t>Replaceable mounting for DevKit and C3 boards</t>
  </si>
  <si>
    <t>Use only when MCU boards have male headers.</t>
  </si>
  <si>
    <t>C-CONNECTOR</t>
  </si>
  <si>
    <t>JST-01</t>
  </si>
  <si>
    <t>Connector</t>
  </si>
  <si>
    <t>JST-XH 2-pin plug/socket sets</t>
  </si>
  <si>
    <t>Detachable battery, buzzer and sensor wiring</t>
  </si>
  <si>
    <t>Per-pair estimate</t>
  </si>
  <si>
    <t>Observe polarity; label every mating pair.</t>
  </si>
  <si>
    <t>WIRE-PWR-01</t>
  </si>
  <si>
    <t>Wiring</t>
  </si>
  <si>
    <t>22AWG 2-core red/black stranded silicone cable — 1m unit</t>
  </si>
  <si>
    <t>All main power wiring: hub/node battery shields to switches and ESP32; perfboard 5V/GND rails; speaker pair</t>
  </si>
  <si>
    <t>Robu listed per-metre price; order quantity 3</t>
  </si>
  <si>
    <t>https://robu.in/product/22awg-multicore-insulated-cable2-cores-silicone/</t>
  </si>
  <si>
    <t>Mandatory. Red is positive supply; black is GND. Do not solder directly to an 18650 cell. Strip only the end that enters the perfboard pad.</t>
  </si>
  <si>
    <t>C-WIRE</t>
  </si>
  <si>
    <t>WIRE-SIG-01</t>
  </si>
  <si>
    <t>10-colour multistrand ribbon cable — 1m unit</t>
  </si>
  <si>
    <t>All low-current signal and local sensor wiring: PIR, reed switch, buttons, OLED, buzzer control and perfboard point-to-point links</t>
  </si>
  <si>
    <t>QuartzComponents listed per-metre price; order quantity 2; multistrand and intended for perfboard use</t>
  </si>
  <si>
    <t>https://quartzcomponents.com/products/ribbon-cable-multi-strand-cable-1-meter</t>
  </si>
  <si>
    <t>Mandatory unless enough existing Dupont jumpers will be cut and soldered for signals. Never use this ribbon or thin Dupont leads for the main battery/hub power path.</t>
  </si>
  <si>
    <t>HS-01</t>
  </si>
  <si>
    <t>Insulation</t>
  </si>
  <si>
    <t>Heat-shrink assortment</t>
  </si>
  <si>
    <t>Insulate solder joints and battery connections</t>
  </si>
  <si>
    <t>No exposed battery or mains conductors.</t>
  </si>
  <si>
    <t>C-INSULATION</t>
  </si>
  <si>
    <t>SPACER-01</t>
  </si>
  <si>
    <t>Mechanical</t>
  </si>
  <si>
    <t>M3 x 6mm nylon spacer set</t>
  </si>
  <si>
    <t>Mount five perfboards</t>
  </si>
  <si>
    <t>Per-spacer estimate</t>
  </si>
  <si>
    <t>Four per enclosure; final screw length depends on case-wall thickness.</t>
  </si>
  <si>
    <t>C-MECHANICAL</t>
  </si>
  <si>
    <t>SCREW-01</t>
  </si>
  <si>
    <t>M3 x 6mm screws with matching nuts</t>
  </si>
  <si>
    <t>Secure perfboards/spacers</t>
  </si>
  <si>
    <t>Per-fastener estimate</t>
  </si>
  <si>
    <t>Do not substitute 25mm bolts as spacers.</t>
  </si>
  <si>
    <t>MOUNT-01</t>
  </si>
  <si>
    <t>3M-type VHB tape plus small mounting screws</t>
  </si>
  <si>
    <t>Install PIR and magnetic door-contact housings</t>
  </si>
  <si>
    <t>Use screws where paint/dust makes tape unreliable.</t>
  </si>
  <si>
    <t>CASE-01</t>
  </si>
  <si>
    <t>Enclosure</t>
  </si>
  <si>
    <t>Prototype ABS project boxes</t>
  </si>
  <si>
    <t>One hub case plus one per node</t>
  </si>
  <si>
    <t>Buy after assembly</t>
  </si>
  <si>
    <t>Price intentionally blank</t>
  </si>
  <si>
    <t>Measure the final perfboard, connectors, lens and cable bend radius first.</t>
  </si>
  <si>
    <t>C-ENCLOSURE</t>
  </si>
  <si>
    <t>TOOL-DMM-01</t>
  </si>
  <si>
    <t>Tools</t>
  </si>
  <si>
    <t>Test equipment</t>
  </si>
  <si>
    <t>Digital multimeter with DC voltage/current/continuity</t>
  </si>
  <si>
    <t>Battery matching, wiring checks and current measurements</t>
  </si>
  <si>
    <t>Budget target</t>
  </si>
  <si>
    <t>Verify cell polarity and voltage before every parallel installation.</t>
  </si>
  <si>
    <t>TOOL-BB-01</t>
  </si>
  <si>
    <t>Prototyping</t>
  </si>
  <si>
    <t>Breadboard and male/female Dupont jumper-wire set</t>
  </si>
  <si>
    <t>Bench verification; existing jumper wires may be cut, stripped, tinned and soldered for low-current signals</t>
  </si>
  <si>
    <t>Budget estimate; do not repurchase if already owned</t>
  </si>
  <si>
    <t>Allowed for GPIO/PIR/button/reed/OLED signals. Do not use for battery output, shared 5V/GND rails, speaker power or loose installed connections.</t>
  </si>
  <si>
    <t>TOOL-SOLDER-01</t>
  </si>
  <si>
    <t>Consumables</t>
  </si>
  <si>
    <t>Solder, flux and cleaning alcohol</t>
  </si>
  <si>
    <t>Permanent perfboard assembly</t>
  </si>
  <si>
    <t>Inspect for solder bridges before inserting batteries.</t>
  </si>
  <si>
    <t>FUT-LX-01</t>
  </si>
  <si>
    <t>Future hub</t>
  </si>
  <si>
    <t>Power qualification</t>
  </si>
  <si>
    <t>LX-2BUPS 5V Type-C dual-18650 UPS</t>
  </si>
  <si>
    <t>Evaluate after restock for hub pilot; not used in nodes</t>
  </si>
  <si>
    <t>Future qualification</t>
  </si>
  <si>
    <t>FlyRobo listed price; out of stock, estimated restock 20-24 Sep 2026</t>
  </si>
  <si>
    <t>https://www.flyrobo.in/lx-2bups-3a-18650-lithium-battery-ups-boost-module-5v-type-c</t>
  </si>
  <si>
    <t>Must pass seamless-transfer, cutoff, thermal, EMI and short-circuit testing before any paid pilot.</t>
  </si>
  <si>
    <t>OPT-DFR-01</t>
  </si>
  <si>
    <t>Future node</t>
  </si>
  <si>
    <t>Power evaluation</t>
  </si>
  <si>
    <t>DFRobot DFR1026 5V/2A charge-discharge module</t>
  </si>
  <si>
    <t>Documented compact alternative for power experiments</t>
  </si>
  <si>
    <t>Optional evaluation</t>
  </si>
  <si>
    <t>Fab.to.Lab listed price</t>
  </si>
  <si>
    <t>https://www.fabtolab.com/dfrobot-dc-dc-charge-discharge-integrated-module-5v-2a-dfr1026</t>
  </si>
  <si>
    <t>Low stated standby current but still boosts to 5V; requires soldered battery/input/output wiring.</t>
  </si>
  <si>
    <t>P1-AUDIO-01</t>
  </si>
  <si>
    <t>Audio</t>
  </si>
  <si>
    <t>MAX98357A + existing 8-ohm speaker</t>
  </si>
  <si>
    <t>Spoken prompts</t>
  </si>
  <si>
    <t>P1 - do not buy</t>
  </si>
  <si>
    <t>Not required for the first buzzer-and-button prototype.</t>
  </si>
  <si>
    <t>C-AUDIO</t>
  </si>
  <si>
    <t>P1-ENV-01</t>
  </si>
  <si>
    <t>Future nodes</t>
  </si>
  <si>
    <t>Temperature/humidity or smoke sensing</t>
  </si>
  <si>
    <t>Future contextual/activity experiments</t>
  </si>
  <si>
    <t>Excluded from P0</t>
  </si>
  <si>
    <t>Do not present a temperature sensor as a certified fire detector.</t>
  </si>
  <si>
    <t>C-FUTURE-SENSOR</t>
  </si>
  <si>
    <t>Commercial-Grade Upgrade and Qualification Map</t>
  </si>
  <si>
    <t>“Commercial grade” here means traceable parts, controlled design and documented testing. It does not mean the complete product is certified merely because one listed component is used. LX-2BUPS remains a pilot qualification candidate, not a frozen production choice.</t>
  </si>
  <si>
    <t>Map ID</t>
  </si>
  <si>
    <t>Prototype component</t>
  </si>
  <si>
    <t>Commercial alternative</t>
  </si>
  <si>
    <t>Why it is better</t>
  </si>
  <si>
    <t>Qualification / exit criterion</t>
  </si>
  <si>
    <t>Procurement and design note</t>
  </si>
  <si>
    <t>Manufacturer / reference URL</t>
  </si>
  <si>
    <t>ESP32 DevKit V1</t>
  </si>
  <si>
    <t>Espressif ESP32-S3-WROOM-1 module on a custom PCB</t>
  </si>
  <si>
    <t>Traceable module, secure boot/flash encryption, production connector and future audio headroom</t>
  </si>
  <si>
    <t>Stable 72-hour load test; RF range; OTA rollback; secure provisioning</t>
  </si>
  <si>
    <t>Use an authorized distributor and lock the exact module suffix</t>
  </si>
  <si>
    <t>https://www.espressif.com/en/products/modules</t>
  </si>
  <si>
    <t>ESP32-C3 SuperMini</t>
  </si>
  <si>
    <t>Espressif ESP32-C3-MINI-1-N4 on a custom PCB</t>
  </si>
  <si>
    <t>Removes unknown regulator/LED leakage and gives controlled RF/layout</t>
  </si>
  <si>
    <t>Deep-sleep current, RF range, wake reliability and OTA recovery pass</t>
  </si>
  <si>
    <t>Use Espressif hardware-design guidelines</t>
  </si>
  <si>
    <t>https://www.espressif.com/sites/default/files/documentation/esp32-c3-mini-1_datasheet_en.pdf</t>
  </si>
  <si>
    <t>SmartElex AM312</t>
  </si>
  <si>
    <t>Panasonic PaPIRs EKMB low-current series</t>
  </si>
  <si>
    <t>Datasheet-controlled sensitivity, very low current and long-term supply</t>
  </si>
  <si>
    <t>Room-by-room false-positive/false-negative trial across temperature and seasons</t>
  </si>
  <si>
    <t>Select lens and detection pattern for each enclosure</t>
  </si>
  <si>
    <t>https://na.industrial.panasonic.com/products/sensors/sensors-automotive-industrial-applications/pir-motion-sensor-papirs</t>
  </si>
  <si>
    <t>Generic MC-38 contact</t>
  </si>
  <si>
    <t>Sentek or Honeywell sealed, screw-mount magnetic contact</t>
  </si>
  <si>
    <t>Better housing, lead quality and declared contact rating</t>
  </si>
  <si>
    <t>10,000 open/close cycles; alignment tolerance; cable-pull test</t>
  </si>
  <si>
    <t>Prefer normally-closed alarm contact for wire-break detection</t>
  </si>
  <si>
    <t>https://robu.in/product-category/magnetic-switches/</t>
  </si>
  <si>
    <t>Big-key hobby module</t>
  </si>
  <si>
    <t>APEM/Schurter/Omron panel-mount momentary switch, IP-rated where needed</t>
  </si>
  <si>
    <t>Defined actuation force, lifetime and panel mounting</t>
  </si>
  <si>
    <t>Senior usability test; 10,000 presses; stuck-button detection</t>
  </si>
  <si>
    <t>Choose a large contrasting cap and tactile click</t>
  </si>
  <si>
    <t>https://www.apem.com/idec-apem/en_US/Switches/Pushbutton-switches/c/Pushbutton_switches</t>
  </si>
  <si>
    <t>Generic active buzzer</t>
  </si>
  <si>
    <t>CUI Devices or Mallory Sonalert active buzzer with datasheet</t>
  </si>
  <si>
    <t>Controlled loudness, voltage and lifecycle</t>
  </si>
  <si>
    <t>Audible from bedroom/common room; current and temperature within rating</t>
  </si>
  <si>
    <t>Select 3.3V or 5V version to match final rail</t>
  </si>
  <si>
    <t>https://www.sameskydevices.com/catalog/audio/buzzers</t>
  </si>
  <si>
    <t>BC547 through-hole</t>
  </si>
  <si>
    <t>Nexperia BC847B or MMBT2222A SMD transistor</t>
  </si>
  <si>
    <t>Traceable production part and automated assembly</t>
  </si>
  <si>
    <t>Worst-case buzzer current with GPIO-high margin</t>
  </si>
  <si>
    <t>Retain base resistor and default-off pull-down</t>
  </si>
  <si>
    <t>https://www.nexperia.com/product/BC847B</t>
  </si>
  <si>
    <t>Generic SSD1306 module</t>
  </si>
  <si>
    <t>Branded OLED module from Raystar/Newhaven, or status LEDs only</t>
  </si>
  <si>
    <t>Known display lifetime and controlled connector</t>
  </si>
  <si>
    <t>Burn-in, readable viewing angle and recovery after brownout</t>
  </si>
  <si>
    <t>Consider removing the display if the phone dashboard is sufficient</t>
  </si>
  <si>
    <t>https://newhavendisplay.com/oled-displays/</t>
  </si>
  <si>
    <t>V8 shield; LX-2BUPS evaluation</t>
  </si>
  <si>
    <t>Custom 1S2P power path using BQ24074 or MCP73871 plus a qualified 5V boost stage; DFRobot DFR0446 only for pilot</t>
  </si>
  <si>
    <t>Controlled charging, load sharing, thermal design and documented components</t>
  </si>
  <si>
    <t>30 transfer cycles without reboot; cutoff; short; thermal; EMI; 72-hour run</t>
  </si>
  <si>
    <t>LX-2BUPS is not automatically commercial grade; lock supplier/revision for pilot</t>
  </si>
  <si>
    <t>https://www.ti.com/product/BQ24074</t>
  </si>
  <si>
    <t>Single-cell shield / DFR1026 evaluation</t>
  </si>
  <si>
    <t>BQ25185 charger/power path plus TPS63802 low-Iq 3.3V buck-boost on custom PCB</t>
  </si>
  <si>
    <t>Avoids wasteful 5V boost and enables predictable battery life</t>
  </si>
  <si>
    <t>Measured sleep current and battery runtime meet product target</t>
  </si>
  <si>
    <t>Choose charge current from the certified cell specification</t>
  </si>
  <si>
    <t>https://www.ti.com/product/BQ25185</t>
  </si>
  <si>
    <t>Loose DMEGC 18650 cells in holders</t>
  </si>
  <si>
    <t>Certified welded 1S or 1S2P battery pack with protection, NTC and keyed connector</t>
  </si>
  <si>
    <t>Customers do not handle loose cells; pack assembly and polarity are controlled</t>
  </si>
  <si>
    <t>Capacity, short, charge, drop and temperature tests; supplier certificates reviewed</t>
  </si>
  <si>
    <t>Use branded cells from an authorized channel; never mix cells</t>
  </si>
  <si>
    <t>https://www.molicel.com/product/inr18650m35a/</t>
  </si>
  <si>
    <t>Existing mobile charger</t>
  </si>
  <si>
    <t>BIS-certified 5V/2A external adapter from a traceable supplier</t>
  </si>
  <si>
    <t>Mains safety remains outside the low-voltage enclosure</t>
  </si>
  <si>
    <t>Adapter certificates, output ripple, temperature and brownout tests</t>
  </si>
  <si>
    <t>Ship one approved adapter model or publish a strict compatibility list</t>
  </si>
  <si>
    <t>https://www.bis.gov.in/</t>
  </si>
  <si>
    <t>Generic resistor/capacitor packs</t>
  </si>
  <si>
    <t>Yageo resistors, Murata ceramic capacitors and Panasonic low-ESR bulk capacitors</t>
  </si>
  <si>
    <t>Tolerance, derating and supply traceability</t>
  </si>
  <si>
    <t>Operate below voltage/current/temperature derating limits</t>
  </si>
  <si>
    <t>Use 1% resistors for battery measurement</t>
  </si>
  <si>
    <t>https://www.yageo.com/</t>
  </si>
  <si>
    <t>Generic diode and module protection</t>
  </si>
  <si>
    <t>Nexperia diode plus resettable PTC/eFuse and reverse-polarity protection</t>
  </si>
  <si>
    <t>Controlled fault response and safer battery wiring</t>
  </si>
  <si>
    <t>Output short, reverse connection and recovery tests</t>
  </si>
  <si>
    <t>Protection must be validated at product level</t>
  </si>
  <si>
    <t>https://www.ti.com/power-management/power-switches/efuse-hotswap-controllers/overview.html</t>
  </si>
  <si>
    <t>Generic LEDs</t>
  </si>
  <si>
    <t>Kingbright or Würth Elektronik LEDs with controlled brightness/bin</t>
  </si>
  <si>
    <t>Consistent visible indication</t>
  </si>
  <si>
    <t>Readable in daylight and at night without excessive power</t>
  </si>
  <si>
    <t>Use firmware dimming or resistor selection</t>
  </si>
  <si>
    <t>https://www.kingbrightusa.com/</t>
  </si>
  <si>
    <t>ADC resistor divider</t>
  </si>
  <si>
    <t>MAX17048/MAX17049 fuel gauge</t>
  </si>
  <si>
    <t>Better state-of-charge estimation without a continuously lossy divider</t>
  </si>
  <si>
    <t>Compare reported charge against measured discharge cycles</t>
  </si>
  <si>
    <t>Keep low-battery thresholds conservative</t>
  </si>
  <si>
    <t>https://www.analog.com/en/products/max17048.html</t>
  </si>
  <si>
    <t>Perfboard</t>
  </si>
  <si>
    <t>Custom 2-layer FR-4 PCB, lead-free finish, controlled fab and assembly files</t>
  </si>
  <si>
    <t>Repeatable wiring, RF layout and testability</t>
  </si>
  <si>
    <t>ERC/DRC, first-article inspection, programming and production test</t>
  </si>
  <si>
    <t>Include revision and serial-number marking</t>
  </si>
  <si>
    <t>https://docs.espressif.com/projects/esp-hardware-design-guidelines/en/latest/esp32c3/</t>
  </si>
  <si>
    <t>Generic headers/JST-compatible connectors</t>
  </si>
  <si>
    <t>Genuine JST or Molex keyed locking connectors</t>
  </si>
  <si>
    <t>Polarity control and documented contact ratings</t>
  </si>
  <si>
    <t>Insertion cycles, pull test and vibration test</t>
  </si>
  <si>
    <t>Avoid removable MCU headers in the final product</t>
  </si>
  <si>
    <t>https://www.molex.com/en-us/products/connectors/wire-to-board-connectors</t>
  </si>
  <si>
    <t>22AWG red/black power cable plus multistrand ribbon signal cable</t>
  </si>
  <si>
    <t>UL1007/UL1569 rated wire harnesses with crimped, keyed terminals</t>
  </si>
  <si>
    <t>Known conductor size, insulation, polarity, strain relief and repeatable assembly</t>
  </si>
  <si>
    <t>Pull test, current/temperature verification, polarity inspection and connector-cycle test</t>
  </si>
  <si>
    <t>Maintain red/black power convention; use keyed connectors and documented harness lengths</t>
  </si>
  <si>
    <t>https://iq.ulprospector.com/en/profile?e=196</t>
  </si>
  <si>
    <t>Generic heat-shrink</t>
  </si>
  <si>
    <t>UL-recognized heat-shrink and flame-retardant sleeving</t>
  </si>
  <si>
    <t>Material traceability and flame behaviour</t>
  </si>
  <si>
    <t>No exposed conductor after assembly and pull testing</t>
  </si>
  <si>
    <t>Apply strain relief before closing enclosure</t>
  </si>
  <si>
    <t>https://www.te.com/en/products/wire-protection-and-management/heat-shrink-tubing.html</t>
  </si>
  <si>
    <t>Nylon spacers and loose hardware</t>
  </si>
  <si>
    <t>Moulded PCB bosses or threaded brass inserts with controlled screws</t>
  </si>
  <si>
    <t>Repeatable assembly and better drop resistance</t>
  </si>
  <si>
    <t>Drop/vibration test with no board movement or cable damage</t>
  </si>
  <si>
    <t>Use thread-locking strategy where appropriate</t>
  </si>
  <si>
    <t>https://www.bossard.com/</t>
  </si>
  <si>
    <t>Prototype ABS project box</t>
  </si>
  <si>
    <t>Custom PC-ABS/ABS UL94-rated enclosure with PIR lens geometry and ventilation</t>
  </si>
  <si>
    <t>Controlled fit, cable bend radius and fire behaviour</t>
  </si>
  <si>
    <t>Drop, heat, cleaning, ingress and wall-mount tests</t>
  </si>
  <si>
    <t>Prevent user access to cells and exposed circuitry</t>
  </si>
  <si>
    <t>https://www.ul.com/services/plastics-recognition-program</t>
  </si>
  <si>
    <t>Generic short cable</t>
  </si>
  <si>
    <t>Locking internal cable or board-to-board connector; external USB-C with strain relief</t>
  </si>
  <si>
    <t>Avoids bent internal consumer cables</t>
  </si>
  <si>
    <t>Repeated insertion/bend and pull tests</t>
  </si>
  <si>
    <t>Provide service access without opening the battery compartment</t>
  </si>
  <si>
    <t>https://www.usb.org/document-library/usb-type-cr-cable-and-connector-specification-release-24</t>
  </si>
  <si>
    <t>USB cables, breadboard and handheld meter</t>
  </si>
  <si>
    <t>Pogo-pin/Tag-Connect production pads plus current-profile and functional test fixture</t>
  </si>
  <si>
    <t>Every unit can be flashed, identified and verified consistently</t>
  </si>
  <si>
    <t>100% end-of-line test with stored serial-number result</t>
  </si>
  <si>
    <t>Keep recovery pads accessible after enclosure assembly</t>
  </si>
  <si>
    <t>https://www.tag-connect.com/</t>
  </si>
  <si>
    <t>MAX98357A + 8-ohm speaker</t>
  </si>
  <si>
    <t>Qualified I2S amplifier and speaker with acoustic enclosure</t>
  </si>
  <si>
    <t>Predictable volume, distortion and supply load</t>
  </si>
  <si>
    <t>Voice intelligibility and peak-current/brownout testing</t>
  </si>
  <si>
    <t>Remain P1 until buzzer workflow is validated</t>
  </si>
  <si>
    <t>https://www.analog.com/en/products/max98357a.html</t>
  </si>
  <si>
    <t>Temperature/humidity/smoke experiments</t>
  </si>
  <si>
    <t>Certified standalone smoke/heat alarm integration rather than hobby gas sensors</t>
  </si>
  <si>
    <t>Avoids unverified life-safety claims</t>
  </si>
  <si>
    <t>Regulatory and alarm-standard review before any fire-detection claim</t>
  </si>
  <si>
    <t>Keep environmental sensing contextual only unless independently certified</t>
  </si>
  <si>
    <t>Family Check-In — Final Wiring and Perfboard Guide</t>
  </si>
  <si>
    <t>Frozen prototype decision: only two wire products are required. The 2-core/3-core/26AWG alternatives discussed earlier are not additional purchases.</t>
  </si>
  <si>
    <t>Final wire purchase list</t>
  </si>
  <si>
    <t>Exact product</t>
  </si>
  <si>
    <t>Order qty</t>
  </si>
  <si>
    <t>Unit</t>
  </si>
  <si>
    <t>Required?</t>
  </si>
  <si>
    <t>Used for</t>
  </si>
  <si>
    <t>Online shop link</t>
  </si>
  <si>
    <t>Important limitation</t>
  </si>
  <si>
    <t>22AWG 2-core red/black stranded silicone cable</t>
  </si>
  <si>
    <t>1m lengths</t>
  </si>
  <si>
    <t>Mandatory</t>
  </si>
  <si>
    <t>Battery shields, switches, ESP32 power, 5V/GND rails and speaker pair</t>
  </si>
  <si>
    <t>Not for GPIO signal routing; do not solder directly to cells</t>
  </si>
  <si>
    <t>10-colour multistrand ribbon cable</t>
  </si>
  <si>
    <t>Mandatory*</t>
  </si>
  <si>
    <t>PIR, reed, buttons, OLED, buzzer control and perfboard signal links</t>
  </si>
  <si>
    <t>*May be omitted only when enough existing Dupont leads will be cut and soldered for signals</t>
  </si>
  <si>
    <t>Connection-by-connection wire map</t>
  </si>
  <si>
    <t>Component/path</t>
  </si>
  <si>
    <t>From</t>
  </si>
  <si>
    <t>To</t>
  </si>
  <si>
    <t>Conductors</t>
  </si>
  <si>
    <t>Wire to use</t>
  </si>
  <si>
    <t>Colour assignment</t>
  </si>
  <si>
    <t>Perfboard connection</t>
  </si>
  <si>
    <t>Safety/design note</t>
  </si>
  <si>
    <t>Hub power</t>
  </si>
  <si>
    <t>Dual-18650 shield 5V/GND</t>
  </si>
  <si>
    <t>Hub switch then ESP32 VIN/5V and GND</t>
  </si>
  <si>
    <t>22AWG 2-core</t>
  </si>
  <si>
    <t>Red=5V; black=GND</t>
  </si>
  <si>
    <t>Solder stripped/tinned ends to power-rail pads</t>
  </si>
  <si>
    <t>Confirm regulated 5V before inserting ESP32</t>
  </si>
  <si>
    <t>Node power ×4</t>
  </si>
  <si>
    <t>Single-cell shield 5V/GND</t>
  </si>
  <si>
    <t>Node switch then ESP32-C3 5V/VBUS and GND</t>
  </si>
  <si>
    <t>Solder to local 5V/GND rail</t>
  </si>
  <si>
    <t>Never feed 5V into a GPIO or 3V3 pin</t>
  </si>
  <si>
    <t>PIR ×5</t>
  </si>
  <si>
    <t>ESP32 3V3/GND/GPIO</t>
  </si>
  <si>
    <t>AM312 VCC/GND/OUT</t>
  </si>
  <si>
    <t>Ribbon strands</t>
  </si>
  <si>
    <t>Orange=3V3; black=GND; yellow=OUT</t>
  </si>
  <si>
    <t>Solder or terminate at a 3-pin connector</t>
  </si>
  <si>
    <t>Lens faces room; keep lead short and away from antenna</t>
  </si>
  <si>
    <t>Door reed</t>
  </si>
  <si>
    <t>ESP32 GPIO/GND</t>
  </si>
  <si>
    <t>MC-38 two leads</t>
  </si>
  <si>
    <t>Blue=GPIO; black=GND</t>
  </si>
  <si>
    <t>Solder or use a keyed 2-pin connector</t>
  </si>
  <si>
    <t>Use internal pull-up; cable break must be distinguishable in later design</t>
  </si>
  <si>
    <t>OK button(s)</t>
  </si>
  <si>
    <t>Normally-open button terminals</t>
  </si>
  <si>
    <t>Green=GPIO; black=GND</t>
  </si>
  <si>
    <t>Use internal pull-up and firmware debounce</t>
  </si>
  <si>
    <t>OLED</t>
  </si>
  <si>
    <t>Hub 3V3/GND/SDA/SCL</t>
  </si>
  <si>
    <t>SSD1306 pins</t>
  </si>
  <si>
    <t>Orange=3V3; black=GND; white=SDA; grey=SCL</t>
  </si>
  <si>
    <t>Solder to header/connector pads</t>
  </si>
  <si>
    <t>Use only 3.3V-safe I2C wiring</t>
  </si>
  <si>
    <t>Buzzer driver</t>
  </si>
  <si>
    <t>ESP32 GPIO and supply</t>
  </si>
  <si>
    <t>Base resistor/transistor/buzzer</t>
  </si>
  <si>
    <t>Ribbon for GPIO; 22AWG only if sharing main supply rail</t>
  </si>
  <si>
    <t>Violet=GPIO; red/orange=supply; black=GND</t>
  </si>
  <si>
    <t>Wire GPIO through the base resistor; use common GND</t>
  </si>
  <si>
    <t>Do not drive an unknown buzzer directly from GPIO</t>
  </si>
  <si>
    <t>Speaker/P1</t>
  </si>
  <si>
    <t>MAX98357A output</t>
  </si>
  <si>
    <t>8-ohm speaker</t>
  </si>
  <si>
    <t>Mark as SPK+ and SPK−</t>
  </si>
  <si>
    <t>Solder directly or use locking 2-pin connector</t>
  </si>
  <si>
    <t>Speaker output is not ground-referenced; do not connect either lead to GND</t>
  </si>
  <si>
    <t>Perfboard links</t>
  </si>
  <si>
    <t>One component/header pad</t>
  </si>
  <si>
    <t>Required destination pad</t>
  </si>
  <si>
    <t>Individual ribbon strand</t>
  </si>
  <si>
    <t>Follow the assignments above</t>
  </si>
  <si>
    <t>Strip 3–4mm, twist, lightly tin, insert, solder and trim</t>
  </si>
  <si>
    <t>Each pad is isolated unless the selected board explicitly has copper strips</t>
  </si>
  <si>
    <t>Perfboard assembly sequence</t>
  </si>
  <si>
    <t>Dupont jumper-wire policy</t>
  </si>
  <si>
    <t>Step</t>
  </si>
  <si>
    <t>Action</t>
  </si>
  <si>
    <t>Scenario</t>
  </si>
  <si>
    <t>Allowed?</t>
  </si>
  <si>
    <t>Treatment</t>
  </si>
  <si>
    <t>Reason</t>
  </si>
  <si>
    <t>Final rule</t>
  </si>
  <si>
    <t>Draw the circuit and label every ESP32 pin before soldering.</t>
  </si>
  <si>
    <t>Breadboard testing</t>
  </si>
  <si>
    <t>Yes</t>
  </si>
  <si>
    <t>Use plug-in jumper leads</t>
  </si>
  <si>
    <t>Fast and reversible</t>
  </si>
  <si>
    <t>Preferred during bench bring-up</t>
  </si>
  <si>
    <t>Place female headers, resistors, transistor and connectors on the component side; solder their pins on the copper side.</t>
  </si>
  <si>
    <t>Soldered GPIO/sensor signal</t>
  </si>
  <si>
    <t>Cut connector, strip, tin and solder</t>
  </si>
  <si>
    <t>Typical Dupont lead is adequate for low-current signals</t>
  </si>
  <si>
    <t>Add strain relief</t>
  </si>
  <si>
    <t>Create short 5V and GND rails using 22AWG red/black wire. Create a clearly separate 3V3 sensor rail using an orange ribbon strand.</t>
  </si>
  <si>
    <t>Loose Dupont plug in installed unit</t>
  </si>
  <si>
    <t>No</t>
  </si>
  <si>
    <t>Replace with soldered or locking connector</t>
  </si>
  <si>
    <t>Can loosen or be connected incorrectly</t>
  </si>
  <si>
    <t>No exposed loose connections</t>
  </si>
  <si>
    <t>Connect component and GPIO pads using individual ribbon strands. Avoid long bare solder bridges.</t>
  </si>
  <si>
    <t>Battery, shared power rail or speaker</t>
  </si>
  <si>
    <t>Use 22AWG two-core cable</t>
  </si>
  <si>
    <t>Unknown thin lead and crimp may overheat or drop voltage</t>
  </si>
  <si>
    <t>22AWG is mandatory</t>
  </si>
  <si>
    <t>For each stranded wire: strip 3–4mm, twist, lightly tin, insert through the pad, solder and trim.</t>
  </si>
  <si>
    <t>Provide strain relief for wires leaving the board; use JST connectors where a sensor, battery module or enclosure part must be removable.</t>
  </si>
  <si>
    <t>Critical: ESP32 GPIO pins are 3.3V-only. Never route 5V to a GPIO or the 3V3 pin. Never solder directly to an 18650 cell; use the selected holder/shield and verify polarity with the multimeter.</t>
  </si>
  <si>
    <t>With batteries removed, test continuity and confirm no short between 5V, 3V3 and GND. Then power without the ESP32 and measure both rails before plugging it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</si>
</sst>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#,##0"/>
  </numFmts>
  <fonts count="17">
    <font>
      <sz val="11"/>
      <name val="Carlito"/>
    </font>
    <font>
      <b/>
      <sz val="18"/>
      <color rgb="FFFFFFFF"/>
      <name val="Carlito"/>
    </font>
    <font>
      <i/>
      <sz val="11"/>
      <color rgb="FF17324D"/>
      <name val="Carlito"/>
    </font>
    <font>
      <b/>
      <sz val="11"/>
      <color rgb="FF7A4E00"/>
      <name val="Carlito"/>
    </font>
    <font>
      <i/>
      <sz val="11"/>
      <color rgb="FF667085"/>
      <name val="Carlito"/>
    </font>
    <font>
      <b/>
      <sz val="20"/>
      <color rgb="FFFFFFFF"/>
      <name val="Carlito"/>
    </font>
    <font>
      <b/>
      <sz val="11"/>
      <color rgb="FF0F766E"/>
      <name val="Carlito"/>
    </font>
    <font>
      <b/>
      <sz val="20"/>
      <color rgb="FF17324D"/>
      <name val="Carlito"/>
    </font>
    <font>
      <b/>
      <sz val="13"/>
      <color rgb="FFFFFFFF"/>
      <name val="Carlito"/>
    </font>
    <font>
      <b/>
      <sz val="11"/>
      <color rgb="FF2563EB"/>
      <name val="Carlito"/>
    </font>
    <font>
      <b/>
      <sz val="11"/>
      <color rgb="FF8B1E1E"/>
      <name val="Carlito"/>
    </font>
    <font>
      <b/>
      <sz val="12"/>
      <color rgb="FFFFFFFF"/>
      <name val="Carlito"/>
    </font>
    <font>
      <b/>
      <sz val="10"/>
      <color rgb="FFFFFFFF"/>
      <name val="Carlito"/>
    </font>
    <font>
      <sz val="10"/>
      <name val="Carlito"/>
    </font>
    <font>
      <i/>
      <sz val="10"/>
      <color rgb="FF17324D"/>
      <name val="Carlito"/>
    </font>
    <font>
      <b/>
      <sz val="10"/>
      <color rgb="FF1665C0"/>
      <name val="Carlito"/>
    </font>
    <font>
      <b/>
      <sz val="10"/>
      <color rgb="FFA02020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FF4D6"/>
      </patternFill>
    </fill>
    <fill>
      <patternFill patternType="solid">
        <fgColor rgb="FFF4F6F8"/>
      </patternFill>
    </fill>
    <fill>
      <patternFill patternType="solid">
        <fgColor rgb="FF0F766E"/>
      </patternFill>
    </fill>
    <fill>
      <patternFill patternType="solid">
        <fgColor rgb="FFE8F5EE"/>
      </patternFill>
    </fill>
    <fill>
      <patternFill patternType="solid">
        <fgColor rgb="FFFFFFFF"/>
      </patternFill>
    </fill>
    <fill>
      <patternFill patternType="solid">
        <fgColor rgb="FFFDECEC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117F75"/>
      </patternFill>
    </fill>
    <fill>
      <patternFill patternType="solid">
        <fgColor rgb="FF0B6073"/>
      </patternFill>
    </fill>
    <fill>
      <patternFill patternType="solid">
        <fgColor rgb="FFFDECEC"/>
      </patternFill>
    </fill>
  </fills>
  <borders count="28">
    <border>
      <left/>
      <right/>
      <top/>
      <bottom/>
      <diagonal/>
    </border>
    <border>
      <left style="thin">
        <color rgb="FFD7DEE5"/>
      </left>
      <right/>
      <top style="thin">
        <color rgb="FFD7DEE5"/>
      </top>
      <bottom/>
      <diagonal/>
    </border>
    <border>
      <left/>
      <right style="thin">
        <color rgb="FFD7DEE5"/>
      </right>
      <top style="thin">
        <color rgb="FFD7DEE5"/>
      </top>
      <bottom/>
      <diagonal/>
    </border>
    <border>
      <left style="thin">
        <color rgb="FFD7DEE5"/>
      </left>
      <right/>
      <top/>
      <bottom/>
      <diagonal/>
    </border>
    <border>
      <left/>
      <right style="thin">
        <color rgb="FFD7DEE5"/>
      </right>
      <top/>
      <bottom/>
      <diagonal/>
    </border>
    <border>
      <left style="thin">
        <color rgb="FFD7DEE5"/>
      </left>
      <right/>
      <top/>
      <bottom style="thin">
        <color rgb="FFD7DEE5"/>
      </bottom>
      <diagonal/>
    </border>
    <border>
      <left/>
      <right style="thin">
        <color rgb="FFD7DEE5"/>
      </right>
      <top/>
      <bottom style="thin">
        <color rgb="FFD7DEE5"/>
      </bottom>
      <diagonal/>
    </border>
    <border>
      <left style="thin">
        <color rgb="FFD7DEE5"/>
      </left>
      <right style="thin">
        <color rgb="FFD7DEE5"/>
      </right>
      <top/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/>
      <diagonal/>
    </border>
    <border>
      <left style="medium">
        <color rgb="FFD9534F"/>
      </left>
      <right/>
      <top style="medium">
        <color rgb="FFD9534F"/>
      </top>
      <bottom/>
      <diagonal/>
    </border>
    <border>
      <left/>
      <right/>
      <top style="medium">
        <color rgb="FFD9534F"/>
      </top>
      <bottom/>
      <diagonal/>
    </border>
    <border>
      <left/>
      <right style="medium">
        <color rgb="FFD9534F"/>
      </right>
      <top style="medium">
        <color rgb="FFD9534F"/>
      </top>
      <bottom/>
      <diagonal/>
    </border>
    <border>
      <left style="medium">
        <color rgb="FFD9534F"/>
      </left>
      <right/>
      <top/>
      <bottom/>
      <diagonal/>
    </border>
    <border>
      <left/>
      <right style="medium">
        <color rgb="FFD9534F"/>
      </right>
      <top/>
      <bottom/>
      <diagonal/>
    </border>
    <border>
      <left style="medium">
        <color rgb="FFD9534F"/>
      </left>
      <right/>
      <top/>
      <bottom style="medium">
        <color rgb="FFD9534F"/>
      </bottom>
      <diagonal/>
    </border>
    <border>
      <left/>
      <right/>
      <top/>
      <bottom style="medium">
        <color rgb="FFD9534F"/>
      </bottom>
      <diagonal/>
    </border>
    <border>
      <left/>
      <right style="medium">
        <color rgb="FFD9534F"/>
      </right>
      <top/>
      <bottom style="medium">
        <color rgb="FFD9534F"/>
      </bottom>
      <diagonal/>
    </border>
    <border>
      <left/>
      <right/>
      <top/>
      <bottom style="thin">
        <color rgb="FFD7E2EA"/>
      </bottom>
      <diagonal/>
    </border>
    <border>
      <left/>
      <right/>
      <top style="thin">
        <color rgb="FFD7E2EA"/>
      </top>
      <bottom style="thin">
        <color rgb="FFD7E2EA"/>
      </bottom>
      <diagonal/>
    </border>
    <border>
      <left style="medium">
        <color rgb="FFD9534F"/>
      </left>
      <right/>
      <top style="thin">
        <color rgb="FFD7E2EA"/>
      </top>
      <bottom style="thin">
        <color rgb="FFD7E2EA"/>
      </bottom>
      <diagonal/>
    </border>
    <border>
      <left/>
      <right style="medium">
        <color rgb="FFD9534F"/>
      </right>
      <top style="thin">
        <color rgb="FFD7E2EA"/>
      </top>
      <bottom style="thin">
        <color rgb="FFD7E2EA"/>
      </bottom>
      <diagonal/>
    </border>
    <border>
      <left/>
      <right/>
      <top style="thin">
        <color rgb="FFD7E2EA"/>
      </top>
      <bottom/>
      <diagonal/>
    </border>
    <border>
      <left style="medium">
        <color rgb="FFD9534F"/>
      </left>
      <right/>
      <top style="thin">
        <color rgb="FFD7E2EA"/>
      </top>
      <bottom style="medium">
        <color rgb="FFD9534F"/>
      </bottom>
      <diagonal/>
    </border>
    <border>
      <left/>
      <right/>
      <top style="thin">
        <color rgb="FFD7E2EA"/>
      </top>
      <bottom style="medium">
        <color rgb="FFD9534F"/>
      </bottom>
      <diagonal/>
    </border>
    <border>
      <left/>
      <right style="medium">
        <color rgb="FFD9534F"/>
      </right>
      <top style="thin">
        <color rgb="FFD7E2EA"/>
      </top>
      <bottom style="medium">
        <color rgb="FFD9534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NumberFormat="1" applyFont="1" applyFill="1" applyBorder="1" applyAlignment="1">
      <alignment vertical="top"/>
    </xf>
    <xf numFmtId="1" fontId="0" fillId="0" borderId="0" xfId="0" applyNumberFormat="1" applyFont="1" applyFill="1" applyBorder="1" applyAlignment="1">
      <alignment vertical="top"/>
    </xf>
    <xf numFmtId="164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1" fontId="0" fillId="3" borderId="0" xfId="0" applyNumberFormat="1" applyFont="1" applyFill="1" applyBorder="1" applyAlignment="1">
      <alignment vertical="top"/>
    </xf>
    <xf numFmtId="164" fontId="0" fillId="3" borderId="0" xfId="0" applyNumberFormat="1" applyFont="1" applyFill="1" applyBorder="1" applyAlignment="1">
      <alignment vertical="top"/>
    </xf>
    <xf numFmtId="0" fontId="9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3" fillId="0" borderId="21" xfId="0" applyNumberFormat="1" applyFont="1" applyFill="1" applyBorder="1" applyAlignment="1">
      <alignment vertical="top"/>
    </xf>
    <xf numFmtId="0" fontId="13" fillId="0" borderId="21" xfId="0" applyNumberFormat="1" applyFont="1" applyFill="1" applyBorder="1" applyAlignment="1">
      <alignment vertical="top" wrapText="1"/>
    </xf>
    <xf numFmtId="0" fontId="13" fillId="0" borderId="24" xfId="0" applyNumberFormat="1" applyFont="1" applyFill="1" applyBorder="1" applyAlignment="1">
      <alignment vertical="top" wrapText="1"/>
    </xf>
    <xf numFmtId="0" fontId="13" fillId="0" borderId="24" xfId="0" applyNumberFormat="1" applyFont="1" applyFill="1" applyBorder="1" applyAlignment="1">
      <alignment vertical="top"/>
    </xf>
    <xf numFmtId="0" fontId="12" fillId="13" borderId="21" xfId="0" applyNumberFormat="1" applyFont="1" applyFill="1" applyBorder="1" applyAlignment="1">
      <alignment vertical="top" wrapText="1"/>
    </xf>
    <xf numFmtId="0" fontId="12" fillId="13" borderId="21" xfId="0" applyNumberFormat="1" applyFont="1" applyFill="1" applyBorder="1" applyAlignment="1">
      <alignment vertical="top"/>
    </xf>
    <xf numFmtId="0" fontId="15" fillId="11" borderId="21" xfId="0" applyNumberFormat="1" applyFont="1" applyFill="1" applyBorder="1" applyAlignment="1">
      <alignment horizontal="center" vertical="top"/>
    </xf>
    <xf numFmtId="0" fontId="15" fillId="11" borderId="24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vertical="center" wrapText="1"/>
    </xf>
    <xf numFmtId="0" fontId="10" fillId="9" borderId="12" xfId="0" applyNumberFormat="1" applyFont="1" applyFill="1" applyBorder="1" applyAlignment="1">
      <alignment vertical="center" wrapText="1"/>
    </xf>
    <xf numFmtId="0" fontId="10" fillId="9" borderId="13" xfId="0" applyNumberFormat="1" applyFont="1" applyFill="1" applyBorder="1" applyAlignment="1">
      <alignment vertical="center" wrapText="1"/>
    </xf>
    <xf numFmtId="0" fontId="10" fillId="9" borderId="14" xfId="0" applyNumberFormat="1" applyFont="1" applyFill="1" applyBorder="1" applyAlignment="1">
      <alignment vertical="center" wrapText="1"/>
    </xf>
    <xf numFmtId="0" fontId="10" fillId="9" borderId="15" xfId="0" applyNumberFormat="1" applyFont="1" applyFill="1" applyBorder="1" applyAlignment="1">
      <alignment vertical="center" wrapText="1"/>
    </xf>
    <xf numFmtId="0" fontId="10" fillId="9" borderId="0" xfId="0" applyNumberFormat="1" applyFont="1" applyFill="1" applyBorder="1" applyAlignment="1">
      <alignment vertical="center" wrapText="1"/>
    </xf>
    <xf numFmtId="0" fontId="10" fillId="9" borderId="16" xfId="0" applyNumberFormat="1" applyFont="1" applyFill="1" applyBorder="1" applyAlignment="1">
      <alignment vertical="center" wrapText="1"/>
    </xf>
    <xf numFmtId="0" fontId="10" fillId="9" borderId="17" xfId="0" applyNumberFormat="1" applyFont="1" applyFill="1" applyBorder="1" applyAlignment="1">
      <alignment vertical="center" wrapText="1"/>
    </xf>
    <xf numFmtId="0" fontId="10" fillId="9" borderId="18" xfId="0" applyNumberFormat="1" applyFont="1" applyFill="1" applyBorder="1" applyAlignment="1">
      <alignment vertical="center" wrapText="1"/>
    </xf>
    <xf numFmtId="0" fontId="10" fillId="9" borderId="19" xfId="0" applyNumberFormat="1" applyFont="1" applyFill="1" applyBorder="1" applyAlignment="1">
      <alignment vertical="center" wrapText="1"/>
    </xf>
    <xf numFmtId="0" fontId="0" fillId="8" borderId="8" xfId="0" applyNumberFormat="1" applyFont="1" applyFill="1" applyBorder="1" applyAlignment="1">
      <alignment vertical="center" wrapText="1"/>
    </xf>
    <xf numFmtId="0" fontId="0" fillId="8" borderId="9" xfId="0" applyNumberFormat="1" applyFont="1" applyFill="1" applyBorder="1" applyAlignment="1">
      <alignment vertical="center" wrapText="1"/>
    </xf>
    <xf numFmtId="0" fontId="0" fillId="8" borderId="10" xfId="0" applyNumberFormat="1" applyFont="1" applyFill="1" applyBorder="1" applyAlignment="1">
      <alignment vertical="center" wrapText="1"/>
    </xf>
    <xf numFmtId="0" fontId="0" fillId="8" borderId="2" xfId="0" applyNumberFormat="1" applyFont="1" applyFill="1" applyBorder="1" applyAlignment="1">
      <alignment vertical="center" wrapText="1"/>
    </xf>
    <xf numFmtId="0" fontId="0" fillId="8" borderId="11" xfId="0" applyNumberFormat="1" applyFont="1" applyFill="1" applyBorder="1" applyAlignment="1">
      <alignment vertical="center" wrapText="1"/>
    </xf>
    <xf numFmtId="0" fontId="0" fillId="8" borderId="1" xfId="0" applyNumberFormat="1" applyFont="1" applyFill="1" applyBorder="1" applyAlignment="1">
      <alignment vertical="center" wrapText="1"/>
    </xf>
    <xf numFmtId="0" fontId="8" fillId="6" borderId="0" xfId="0" applyNumberFormat="1" applyFont="1" applyFill="1" applyBorder="1" applyAlignment="1">
      <alignment vertical="center"/>
    </xf>
    <xf numFmtId="0" fontId="0" fillId="8" borderId="6" xfId="0" applyNumberFormat="1" applyFont="1" applyFill="1" applyBorder="1" applyAlignment="1">
      <alignment vertical="center" wrapText="1"/>
    </xf>
    <xf numFmtId="0" fontId="0" fillId="8" borderId="7" xfId="0" applyNumberFormat="1" applyFont="1" applyFill="1" applyBorder="1" applyAlignment="1">
      <alignment vertical="center" wrapText="1"/>
    </xf>
    <xf numFmtId="0" fontId="0" fillId="8" borderId="5" xfId="0" applyNumberFormat="1" applyFont="1" applyFill="1" applyBorder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6" fillId="7" borderId="1" xfId="0" applyNumberFormat="1" applyFont="1" applyFill="1" applyBorder="1" applyAlignment="1">
      <alignment horizontal="center" vertical="center"/>
    </xf>
    <xf numFmtId="0" fontId="6" fillId="7" borderId="2" xfId="0" applyNumberFormat="1" applyFont="1" applyFill="1" applyBorder="1" applyAlignment="1">
      <alignment horizontal="center" vertical="center"/>
    </xf>
    <xf numFmtId="0" fontId="7" fillId="7" borderId="3" xfId="0" applyNumberFormat="1" applyFont="1" applyFill="1" applyBorder="1" applyAlignment="1">
      <alignment horizontal="center" vertical="center"/>
    </xf>
    <xf numFmtId="0" fontId="7" fillId="7" borderId="4" xfId="0" applyNumberFormat="1" applyFont="1" applyFill="1" applyBorder="1" applyAlignment="1">
      <alignment horizontal="center" vertical="center"/>
    </xf>
    <xf numFmtId="0" fontId="7" fillId="7" borderId="5" xfId="0" applyNumberFormat="1" applyFont="1" applyFill="1" applyBorder="1" applyAlignment="1">
      <alignment horizontal="center" vertical="center"/>
    </xf>
    <xf numFmtId="0" fontId="7" fillId="7" borderId="6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164" fontId="7" fillId="7" borderId="5" xfId="0" applyNumberFormat="1" applyFont="1" applyFill="1" applyBorder="1" applyAlignment="1">
      <alignment horizontal="center" vertical="center"/>
    </xf>
    <xf numFmtId="164" fontId="7" fillId="7" borderId="6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/>
    <xf numFmtId="0" fontId="1" fillId="6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vertical="center" wrapText="1"/>
    </xf>
    <xf numFmtId="0" fontId="16" fillId="14" borderId="22" xfId="0" applyNumberFormat="1" applyFont="1" applyFill="1" applyBorder="1" applyAlignment="1">
      <alignment vertical="top" wrapText="1"/>
    </xf>
    <xf numFmtId="0" fontId="16" fillId="14" borderId="21" xfId="0" applyNumberFormat="1" applyFont="1" applyFill="1" applyBorder="1" applyAlignment="1">
      <alignment vertical="top" wrapText="1"/>
    </xf>
    <xf numFmtId="0" fontId="16" fillId="14" borderId="23" xfId="0" applyNumberFormat="1" applyFont="1" applyFill="1" applyBorder="1" applyAlignment="1">
      <alignment vertical="top" wrapText="1"/>
    </xf>
    <xf numFmtId="0" fontId="16" fillId="14" borderId="25" xfId="0" applyNumberFormat="1" applyFont="1" applyFill="1" applyBorder="1" applyAlignment="1">
      <alignment vertical="top" wrapText="1"/>
    </xf>
    <xf numFmtId="0" fontId="16" fillId="14" borderId="26" xfId="0" applyNumberFormat="1" applyFont="1" applyFill="1" applyBorder="1" applyAlignment="1">
      <alignment vertical="top" wrapText="1"/>
    </xf>
    <xf numFmtId="0" fontId="16" fillId="14" borderId="27" xfId="0" applyNumberFormat="1" applyFont="1" applyFill="1" applyBorder="1" applyAlignment="1">
      <alignment vertical="top" wrapText="1"/>
    </xf>
    <xf numFmtId="0" fontId="1" fillId="10" borderId="20" xfId="0" applyNumberFormat="1" applyFont="1" applyFill="1" applyBorder="1" applyAlignment="1">
      <alignment horizontal="center" vertical="top"/>
    </xf>
    <xf numFmtId="0" fontId="14" fillId="11" borderId="21" xfId="0" applyNumberFormat="1" applyFont="1" applyFill="1" applyBorder="1" applyAlignment="1">
      <alignment horizontal="center" vertical="top" wrapText="1"/>
    </xf>
    <xf numFmtId="0" fontId="11" fillId="12" borderId="21" xfId="0" applyNumberFormat="1" applyFont="1" applyFill="1" applyBorder="1" applyAlignment="1">
      <alignment vertical="top"/>
    </xf>
  </cellXfs>
  <cellStyles count="1">
    <cellStyle name="Normal" xfId="0" builtinId="0"/>
  </cellStyles>
  <dxfs count="3">
    <dxf>
      <font>
        <color rgb="FF7A4E00"/>
      </font>
      <fill>
        <patternFill>
          <bgColor rgb="FFFFF4D6"/>
        </patternFill>
      </fill>
    </dxf>
    <dxf>
      <font>
        <color rgb="FF146C43"/>
      </font>
      <fill>
        <patternFill>
          <bgColor rgb="FFE8F5EE"/>
        </patternFill>
      </fill>
    </dxf>
    <dxf>
      <font>
        <b/>
        <color rgb="FF7A4E00"/>
      </font>
      <fill>
        <patternFill>
          <bgColor rgb="FFFFF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FamilyCheckInBOM" displayName="FamilyCheckInBOM" ref="A7:Q48" totalsRowShown="0">
  <autoFilter ref="A7:Q48"/>
  <tableColumns count="17">
    <tableColumn id="1" name="ID"/>
    <tableColumn id="2" name="Device"/>
    <tableColumn id="3" name="Category"/>
    <tableColumn id="4" name="Component"/>
    <tableColumn id="5" name="Prototype selection / purpose"/>
    <tableColumn id="6" name="Base Qty_x000a_1 hub + 4 nodes"/>
    <tableColumn id="7" name="Gate Qty_x000a_+ dedicated node"/>
    <tableColumn id="8" name="Already Have"/>
    <tableColumn id="9" name="Buy Base"/>
    <tableColumn id="10" name="Buy Gate"/>
    <tableColumn id="11" name="Priority"/>
    <tableColumn id="12" name="Unit Price ₹"/>
    <tableColumn id="13" name="Base Purchase ₹"/>
    <tableColumn id="14" name="Price Basis / Stock Note"/>
    <tableColumn id="15" name="Purchase / Source URL"/>
    <tableColumn id="16" name="Safety and Design Notes"/>
    <tableColumn id="17" name="Commercial Map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mercialUpgradeMap" displayName="CommercialUpgradeMap" ref="A6:G32" totalsRowShown="0">
  <autoFilter ref="A6:G32"/>
  <tableColumns count="7">
    <tableColumn id="1" name="Map ID"/>
    <tableColumn id="2" name="Prototype component"/>
    <tableColumn id="3" name="Commercial alternative"/>
    <tableColumn id="4" name="Why it is better"/>
    <tableColumn id="5" name="Qualification / exit criterion"/>
    <tableColumn id="6" name="Procurement and design note"/>
    <tableColumn id="7" name="Manufacturer / reference UR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FinalWirePurchases" displayName="FinalWirePurchases" ref="A6:H8" totalsRowShown="0">
  <tableColumns count="8">
    <tableColumn id="1" name="ID"/>
    <tableColumn id="2" name="Exact product"/>
    <tableColumn id="3" name="Order qty"/>
    <tableColumn id="4" name="Unit"/>
    <tableColumn id="5" name="Required?"/>
    <tableColumn id="6" name="Used for"/>
    <tableColumn id="7" name="Online shop link"/>
    <tableColumn id="8" name="Important limi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ireConnectionMap" displayName="WireConnectionMap" ref="A12:H21" totalsRowShown="0">
  <tableColumns count="8">
    <tableColumn id="1" name="Component/path"/>
    <tableColumn id="2" name="From"/>
    <tableColumn id="3" name="To"/>
    <tableColumn id="4" name="Conductors"/>
    <tableColumn id="5" name="Wire to use"/>
    <tableColumn id="6" name="Colour assignment"/>
    <tableColumn id="7" name="Perfboard connection"/>
    <tableColumn id="8" name="Safety/desig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tabSelected="1" workbookViewId="0">
      <selection sqref="A1:H2"/>
    </sheetView>
  </sheetViews>
  <sheetFormatPr defaultRowHeight="14.25"/>
  <cols>
    <col min="1" max="8" width="17" customWidth="1"/>
  </cols>
  <sheetData>
    <row r="1" spans="1:8" ht="30" customHeight="1">
      <c r="A1" s="38" t="s">
        <v>0</v>
      </c>
      <c r="B1" s="38"/>
      <c r="C1" s="38"/>
      <c r="D1" s="38"/>
      <c r="E1" s="38"/>
      <c r="F1" s="38"/>
      <c r="G1" s="38"/>
      <c r="H1" s="38"/>
    </row>
    <row r="2" spans="1:8" ht="30" customHeight="1">
      <c r="A2" s="38"/>
      <c r="B2" s="38"/>
      <c r="C2" s="38"/>
      <c r="D2" s="38"/>
      <c r="E2" s="38"/>
      <c r="F2" s="38"/>
      <c r="G2" s="38"/>
      <c r="H2" s="38"/>
    </row>
    <row r="3" spans="1:8" ht="21.95" customHeight="1">
      <c r="A3" s="39" t="s">
        <v>1</v>
      </c>
      <c r="B3" s="39"/>
      <c r="C3" s="39"/>
      <c r="D3" s="39"/>
      <c r="E3" s="39"/>
      <c r="F3" s="39"/>
      <c r="G3" s="39"/>
      <c r="H3" s="39"/>
    </row>
    <row r="4" spans="1:8">
      <c r="A4" s="9"/>
      <c r="B4" s="9"/>
      <c r="C4" s="9"/>
      <c r="D4" s="9"/>
      <c r="E4" s="9"/>
      <c r="F4" s="9"/>
      <c r="G4" s="9"/>
      <c r="H4" s="9"/>
    </row>
    <row r="5" spans="1:8" ht="26.1" customHeight="1">
      <c r="A5" s="40" t="s">
        <v>2</v>
      </c>
      <c r="B5" s="41"/>
      <c r="C5" s="40" t="s">
        <v>3</v>
      </c>
      <c r="D5" s="41"/>
      <c r="E5" s="40" t="s">
        <v>4</v>
      </c>
      <c r="F5" s="41"/>
      <c r="G5" s="40" t="s">
        <v>5</v>
      </c>
      <c r="H5" s="41"/>
    </row>
    <row r="6" spans="1:8" ht="26.1" customHeight="1">
      <c r="A6" s="42">
        <v>5</v>
      </c>
      <c r="B6" s="43"/>
      <c r="C6" s="42">
        <f>'Purchase BOM'!I23</f>
        <v>2</v>
      </c>
      <c r="D6" s="43"/>
      <c r="E6" s="46">
        <f>SUM('Purchase BOM'!M8:M48)</f>
        <v>7490</v>
      </c>
      <c r="F6" s="47"/>
      <c r="G6" s="42">
        <v>6</v>
      </c>
      <c r="H6" s="43"/>
    </row>
    <row r="7" spans="1:8" ht="26.1" customHeight="1">
      <c r="A7" s="44"/>
      <c r="B7" s="45"/>
      <c r="C7" s="44"/>
      <c r="D7" s="45"/>
      <c r="E7" s="48"/>
      <c r="F7" s="49"/>
      <c r="G7" s="44"/>
      <c r="H7" s="45"/>
    </row>
    <row r="8" spans="1:8">
      <c r="A8" s="9"/>
      <c r="B8" s="9"/>
      <c r="C8" s="9"/>
      <c r="D8" s="9"/>
      <c r="E8" s="9"/>
      <c r="F8" s="9"/>
      <c r="G8" s="9"/>
      <c r="H8" s="9"/>
    </row>
    <row r="9" spans="1:8" ht="26.1" customHeight="1">
      <c r="A9" s="34" t="s">
        <v>6</v>
      </c>
      <c r="B9" s="34"/>
      <c r="C9" s="34"/>
      <c r="D9" s="34"/>
      <c r="E9" s="34"/>
      <c r="F9" s="34"/>
      <c r="G9" s="34"/>
      <c r="H9" s="34"/>
    </row>
    <row r="10" spans="1:8" ht="38.1" customHeight="1">
      <c r="A10" s="7" t="s">
        <v>7</v>
      </c>
      <c r="B10" s="35" t="s">
        <v>8</v>
      </c>
      <c r="C10" s="36"/>
      <c r="D10" s="36"/>
      <c r="E10" s="36"/>
      <c r="F10" s="36"/>
      <c r="G10" s="36"/>
      <c r="H10" s="37"/>
    </row>
    <row r="11" spans="1:8" ht="38.1" customHeight="1">
      <c r="A11" s="7" t="s">
        <v>9</v>
      </c>
      <c r="B11" s="28" t="s">
        <v>10</v>
      </c>
      <c r="C11" s="29"/>
      <c r="D11" s="29"/>
      <c r="E11" s="29"/>
      <c r="F11" s="29"/>
      <c r="G11" s="29"/>
      <c r="H11" s="30"/>
    </row>
    <row r="12" spans="1:8" ht="38.1" customHeight="1">
      <c r="A12" s="7" t="s">
        <v>11</v>
      </c>
      <c r="B12" s="28" t="s">
        <v>12</v>
      </c>
      <c r="C12" s="29"/>
      <c r="D12" s="29"/>
      <c r="E12" s="29"/>
      <c r="F12" s="29"/>
      <c r="G12" s="29"/>
      <c r="H12" s="30"/>
    </row>
    <row r="13" spans="1:8" ht="38.1" customHeight="1">
      <c r="A13" s="7" t="s">
        <v>13</v>
      </c>
      <c r="B13" s="28" t="s">
        <v>14</v>
      </c>
      <c r="C13" s="29"/>
      <c r="D13" s="29"/>
      <c r="E13" s="29"/>
      <c r="F13" s="29"/>
      <c r="G13" s="29"/>
      <c r="H13" s="30"/>
    </row>
    <row r="14" spans="1:8" ht="38.1" customHeight="1">
      <c r="A14" s="7" t="s">
        <v>15</v>
      </c>
      <c r="B14" s="28" t="s">
        <v>16</v>
      </c>
      <c r="C14" s="29"/>
      <c r="D14" s="29"/>
      <c r="E14" s="29"/>
      <c r="F14" s="29"/>
      <c r="G14" s="29"/>
      <c r="H14" s="30"/>
    </row>
    <row r="15" spans="1:8" ht="38.1" customHeight="1">
      <c r="A15" s="7" t="s">
        <v>17</v>
      </c>
      <c r="B15" s="31" t="s">
        <v>18</v>
      </c>
      <c r="C15" s="32"/>
      <c r="D15" s="32"/>
      <c r="E15" s="32"/>
      <c r="F15" s="32"/>
      <c r="G15" s="32"/>
      <c r="H15" s="33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 ht="26.1" customHeight="1">
      <c r="A17" s="34" t="s">
        <v>19</v>
      </c>
      <c r="B17" s="34"/>
      <c r="C17" s="34"/>
      <c r="D17" s="34"/>
      <c r="E17" s="34"/>
      <c r="F17" s="34"/>
      <c r="G17" s="34"/>
      <c r="H17" s="34"/>
    </row>
    <row r="18" spans="1:8" ht="42" customHeight="1">
      <c r="A18" s="8" t="s">
        <v>20</v>
      </c>
      <c r="B18" s="18" t="s">
        <v>21</v>
      </c>
      <c r="C18" s="18"/>
      <c r="D18" s="18"/>
      <c r="E18" s="18"/>
      <c r="F18" s="18"/>
      <c r="G18" s="18"/>
      <c r="H18" s="18"/>
    </row>
    <row r="19" spans="1:8" ht="42" customHeight="1">
      <c r="A19" s="8" t="s">
        <v>22</v>
      </c>
      <c r="B19" s="18" t="s">
        <v>23</v>
      </c>
      <c r="C19" s="18"/>
      <c r="D19" s="18"/>
      <c r="E19" s="18"/>
      <c r="F19" s="18"/>
      <c r="G19" s="18"/>
      <c r="H19" s="18"/>
    </row>
    <row r="20" spans="1:8" ht="42" customHeight="1">
      <c r="A20" s="8" t="s">
        <v>24</v>
      </c>
      <c r="B20" s="18" t="s">
        <v>25</v>
      </c>
      <c r="C20" s="18"/>
      <c r="D20" s="18"/>
      <c r="E20" s="18"/>
      <c r="F20" s="18"/>
      <c r="G20" s="18"/>
      <c r="H20" s="18"/>
    </row>
    <row r="21" spans="1:8" ht="42" customHeight="1">
      <c r="A21" s="8" t="s">
        <v>26</v>
      </c>
      <c r="B21" s="18" t="s">
        <v>27</v>
      </c>
      <c r="C21" s="18"/>
      <c r="D21" s="18"/>
      <c r="E21" s="18"/>
      <c r="F21" s="18"/>
      <c r="G21" s="18"/>
      <c r="H21" s="18"/>
    </row>
    <row r="22" spans="1:8" ht="42" customHeight="1">
      <c r="A22" s="8" t="s">
        <v>28</v>
      </c>
      <c r="B22" s="18" t="s">
        <v>29</v>
      </c>
      <c r="C22" s="18"/>
      <c r="D22" s="18"/>
      <c r="E22" s="18"/>
      <c r="F22" s="18"/>
      <c r="G22" s="18"/>
      <c r="H22" s="18"/>
    </row>
    <row r="23" spans="1:8" ht="42" customHeight="1">
      <c r="A23" s="8" t="s">
        <v>30</v>
      </c>
      <c r="B23" s="18" t="s">
        <v>31</v>
      </c>
      <c r="C23" s="18"/>
      <c r="D23" s="18"/>
      <c r="E23" s="18"/>
      <c r="F23" s="18"/>
      <c r="G23" s="18"/>
      <c r="H23" s="18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 ht="33.950000000000003" customHeight="1">
      <c r="A25" s="19" t="s">
        <v>32</v>
      </c>
      <c r="B25" s="20"/>
      <c r="C25" s="20"/>
      <c r="D25" s="20"/>
      <c r="E25" s="20"/>
      <c r="F25" s="20"/>
      <c r="G25" s="20"/>
      <c r="H25" s="21"/>
    </row>
    <row r="26" spans="1:8" ht="33.950000000000003" customHeight="1">
      <c r="A26" s="22"/>
      <c r="B26" s="23"/>
      <c r="C26" s="23"/>
      <c r="D26" s="23"/>
      <c r="E26" s="23"/>
      <c r="F26" s="23"/>
      <c r="G26" s="23"/>
      <c r="H26" s="24"/>
    </row>
    <row r="27" spans="1:8" ht="33.950000000000003" customHeight="1">
      <c r="A27" s="25"/>
      <c r="B27" s="26"/>
      <c r="C27" s="26"/>
      <c r="D27" s="26"/>
      <c r="E27" s="26"/>
      <c r="F27" s="26"/>
      <c r="G27" s="26"/>
      <c r="H27" s="27"/>
    </row>
  </sheetData>
  <mergeCells count="25"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  <mergeCell ref="A9:H9"/>
    <mergeCell ref="B10:H10"/>
    <mergeCell ref="B11:H11"/>
    <mergeCell ref="B12:H12"/>
    <mergeCell ref="B13:H13"/>
    <mergeCell ref="B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showGridLines="0" workbookViewId="0">
      <selection activeCell="B7" sqref="B7"/>
    </sheetView>
  </sheetViews>
  <sheetFormatPr defaultRowHeight="14.25"/>
  <cols>
    <col min="1" max="2" width="15" customWidth="1"/>
    <col min="3" max="3" width="16" customWidth="1"/>
    <col min="4" max="4" width="34" customWidth="1"/>
    <col min="5" max="5" width="39" customWidth="1"/>
    <col min="6" max="6" width="13" customWidth="1"/>
    <col min="7" max="7" width="14" customWidth="1"/>
    <col min="8" max="8" width="12" customWidth="1"/>
    <col min="9" max="10" width="10" customWidth="1"/>
    <col min="11" max="11" width="19" customWidth="1"/>
    <col min="12" max="12" width="13" customWidth="1"/>
    <col min="13" max="13" width="15" customWidth="1"/>
    <col min="14" max="14" width="31" customWidth="1"/>
    <col min="15" max="15" width="42" customWidth="1"/>
    <col min="16" max="16" width="48" customWidth="1"/>
    <col min="17" max="17" width="19" customWidth="1"/>
  </cols>
  <sheetData>
    <row r="1" spans="1:17" ht="27.95" customHeight="1">
      <c r="A1" s="50" t="s">
        <v>33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27.9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1:17" ht="32.1" customHeight="1">
      <c r="A3" s="51" t="s">
        <v>34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</row>
    <row r="4" spans="1:17" ht="32.1" customHeight="1">
      <c r="A4" s="52" t="s">
        <v>35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6" spans="1:17">
      <c r="A6" s="53" t="s">
        <v>36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 spans="1:17" ht="38.1" customHeight="1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47</v>
      </c>
      <c r="L7" s="1" t="s">
        <v>48</v>
      </c>
      <c r="M7" s="1" t="s">
        <v>49</v>
      </c>
      <c r="N7" s="1" t="s">
        <v>50</v>
      </c>
      <c r="O7" s="1" t="s">
        <v>51</v>
      </c>
      <c r="P7" s="1" t="s">
        <v>52</v>
      </c>
      <c r="Q7" s="1" t="s">
        <v>53</v>
      </c>
    </row>
    <row r="8" spans="1:17" ht="45.95" customHeight="1">
      <c r="A8" s="1" t="s">
        <v>54</v>
      </c>
      <c r="B8" s="1" t="s">
        <v>55</v>
      </c>
      <c r="C8" s="1" t="s">
        <v>56</v>
      </c>
      <c r="D8" s="4" t="s">
        <v>57</v>
      </c>
      <c r="E8" s="4" t="s">
        <v>58</v>
      </c>
      <c r="F8" s="2">
        <v>1</v>
      </c>
      <c r="G8" s="2">
        <v>1</v>
      </c>
      <c r="H8" s="5">
        <v>1</v>
      </c>
      <c r="I8" s="2">
        <f t="shared" ref="I8:I48" si="0">MAX(0,F8-H8)</f>
        <v>0</v>
      </c>
      <c r="J8" s="2">
        <f t="shared" ref="J8:J48" si="1">MAX(0,G8-H8)</f>
        <v>0</v>
      </c>
      <c r="K8" s="1" t="s">
        <v>59</v>
      </c>
      <c r="L8" s="6">
        <v>400</v>
      </c>
      <c r="M8" s="3">
        <f t="shared" ref="M8:M48" si="2">I8*L8</f>
        <v>0</v>
      </c>
      <c r="N8" s="4" t="s">
        <v>60</v>
      </c>
      <c r="O8" s="4"/>
      <c r="P8" s="4" t="s">
        <v>61</v>
      </c>
      <c r="Q8" s="4" t="s">
        <v>62</v>
      </c>
    </row>
    <row r="9" spans="1:17" ht="45.95" customHeight="1">
      <c r="A9" s="1" t="s">
        <v>63</v>
      </c>
      <c r="B9" s="1" t="s">
        <v>64</v>
      </c>
      <c r="C9" s="1" t="s">
        <v>56</v>
      </c>
      <c r="D9" s="4" t="s">
        <v>65</v>
      </c>
      <c r="E9" s="4" t="s">
        <v>66</v>
      </c>
      <c r="F9" s="2">
        <v>4</v>
      </c>
      <c r="G9" s="2">
        <v>5</v>
      </c>
      <c r="H9" s="5">
        <v>0</v>
      </c>
      <c r="I9" s="2">
        <f t="shared" si="0"/>
        <v>4</v>
      </c>
      <c r="J9" s="2">
        <f t="shared" si="1"/>
        <v>5</v>
      </c>
      <c r="K9" s="1" t="s">
        <v>59</v>
      </c>
      <c r="L9" s="6">
        <v>250</v>
      </c>
      <c r="M9" s="3">
        <f t="shared" si="2"/>
        <v>1000</v>
      </c>
      <c r="N9" s="4" t="s">
        <v>67</v>
      </c>
      <c r="O9" s="4" t="s">
        <v>68</v>
      </c>
      <c r="P9" s="4" t="s">
        <v>69</v>
      </c>
      <c r="Q9" s="4" t="s">
        <v>70</v>
      </c>
    </row>
    <row r="10" spans="1:17" ht="45.95" customHeight="1">
      <c r="A10" s="1" t="s">
        <v>71</v>
      </c>
      <c r="B10" s="1" t="s">
        <v>72</v>
      </c>
      <c r="C10" s="1" t="s">
        <v>73</v>
      </c>
      <c r="D10" s="4" t="s">
        <v>74</v>
      </c>
      <c r="E10" s="4" t="s">
        <v>75</v>
      </c>
      <c r="F10" s="2">
        <v>5</v>
      </c>
      <c r="G10" s="2">
        <v>5</v>
      </c>
      <c r="H10" s="5">
        <v>0</v>
      </c>
      <c r="I10" s="2">
        <f t="shared" si="0"/>
        <v>5</v>
      </c>
      <c r="J10" s="2">
        <f t="shared" si="1"/>
        <v>5</v>
      </c>
      <c r="K10" s="1" t="s">
        <v>59</v>
      </c>
      <c r="L10" s="6">
        <v>196</v>
      </c>
      <c r="M10" s="3">
        <f t="shared" si="2"/>
        <v>980</v>
      </c>
      <c r="N10" s="4" t="s">
        <v>76</v>
      </c>
      <c r="O10" s="4" t="s">
        <v>77</v>
      </c>
      <c r="P10" s="4" t="s">
        <v>78</v>
      </c>
      <c r="Q10" s="4" t="s">
        <v>79</v>
      </c>
    </row>
    <row r="11" spans="1:17" ht="45.95" customHeight="1">
      <c r="A11" s="1" t="s">
        <v>80</v>
      </c>
      <c r="B11" s="1" t="s">
        <v>81</v>
      </c>
      <c r="C11" s="1" t="s">
        <v>73</v>
      </c>
      <c r="D11" s="4" t="s">
        <v>82</v>
      </c>
      <c r="E11" s="4" t="s">
        <v>83</v>
      </c>
      <c r="F11" s="2">
        <v>1</v>
      </c>
      <c r="G11" s="2">
        <v>1</v>
      </c>
      <c r="H11" s="5">
        <v>0</v>
      </c>
      <c r="I11" s="2">
        <f t="shared" si="0"/>
        <v>1</v>
      </c>
      <c r="J11" s="2">
        <f t="shared" si="1"/>
        <v>1</v>
      </c>
      <c r="K11" s="1" t="s">
        <v>59</v>
      </c>
      <c r="L11" s="6">
        <v>120</v>
      </c>
      <c r="M11" s="3">
        <f t="shared" si="2"/>
        <v>120</v>
      </c>
      <c r="N11" s="4" t="s">
        <v>67</v>
      </c>
      <c r="O11" s="4" t="s">
        <v>84</v>
      </c>
      <c r="P11" s="4" t="s">
        <v>85</v>
      </c>
      <c r="Q11" s="4" t="s">
        <v>86</v>
      </c>
    </row>
    <row r="12" spans="1:17" ht="45.95" customHeight="1">
      <c r="A12" s="1" t="s">
        <v>87</v>
      </c>
      <c r="B12" s="1" t="s">
        <v>88</v>
      </c>
      <c r="C12" s="1" t="s">
        <v>89</v>
      </c>
      <c r="D12" s="4" t="s">
        <v>90</v>
      </c>
      <c r="E12" s="4" t="s">
        <v>91</v>
      </c>
      <c r="F12" s="2">
        <v>1</v>
      </c>
      <c r="G12" s="2">
        <v>1</v>
      </c>
      <c r="H12" s="5">
        <v>0</v>
      </c>
      <c r="I12" s="2">
        <f t="shared" si="0"/>
        <v>1</v>
      </c>
      <c r="J12" s="2">
        <f t="shared" si="1"/>
        <v>1</v>
      </c>
      <c r="K12" s="1" t="s">
        <v>59</v>
      </c>
      <c r="L12" s="6">
        <v>250</v>
      </c>
      <c r="M12" s="3">
        <f t="shared" si="2"/>
        <v>250</v>
      </c>
      <c r="N12" s="4" t="s">
        <v>67</v>
      </c>
      <c r="O12" s="4" t="s">
        <v>92</v>
      </c>
      <c r="P12" s="4" t="s">
        <v>93</v>
      </c>
      <c r="Q12" s="4" t="s">
        <v>94</v>
      </c>
    </row>
    <row r="13" spans="1:17" ht="45.95" customHeight="1">
      <c r="A13" s="1" t="s">
        <v>95</v>
      </c>
      <c r="B13" s="1" t="s">
        <v>55</v>
      </c>
      <c r="C13" s="1" t="s">
        <v>96</v>
      </c>
      <c r="D13" s="4" t="s">
        <v>97</v>
      </c>
      <c r="E13" s="4" t="s">
        <v>98</v>
      </c>
      <c r="F13" s="2">
        <v>1</v>
      </c>
      <c r="G13" s="2">
        <v>1</v>
      </c>
      <c r="H13" s="5">
        <v>1</v>
      </c>
      <c r="I13" s="2">
        <f t="shared" si="0"/>
        <v>0</v>
      </c>
      <c r="J13" s="2">
        <f t="shared" si="1"/>
        <v>0</v>
      </c>
      <c r="K13" s="1" t="s">
        <v>59</v>
      </c>
      <c r="L13" s="6">
        <v>25</v>
      </c>
      <c r="M13" s="3">
        <f t="shared" si="2"/>
        <v>0</v>
      </c>
      <c r="N13" s="4" t="s">
        <v>99</v>
      </c>
      <c r="O13" s="4"/>
      <c r="P13" s="4" t="s">
        <v>100</v>
      </c>
      <c r="Q13" s="4" t="s">
        <v>101</v>
      </c>
    </row>
    <row r="14" spans="1:17" ht="45.95" customHeight="1">
      <c r="A14" s="1" t="s">
        <v>102</v>
      </c>
      <c r="B14" s="1" t="s">
        <v>55</v>
      </c>
      <c r="C14" s="1" t="s">
        <v>103</v>
      </c>
      <c r="D14" s="4" t="s">
        <v>104</v>
      </c>
      <c r="E14" s="4" t="s">
        <v>105</v>
      </c>
      <c r="F14" s="2">
        <v>1</v>
      </c>
      <c r="G14" s="2">
        <v>1</v>
      </c>
      <c r="H14" s="5">
        <v>0</v>
      </c>
      <c r="I14" s="2">
        <f t="shared" si="0"/>
        <v>1</v>
      </c>
      <c r="J14" s="2">
        <f t="shared" si="1"/>
        <v>1</v>
      </c>
      <c r="K14" s="1" t="s">
        <v>59</v>
      </c>
      <c r="L14" s="6">
        <v>50</v>
      </c>
      <c r="M14" s="3">
        <f t="shared" si="2"/>
        <v>50</v>
      </c>
      <c r="N14" s="4" t="s">
        <v>67</v>
      </c>
      <c r="O14" s="4" t="s">
        <v>106</v>
      </c>
      <c r="P14" s="4" t="s">
        <v>107</v>
      </c>
      <c r="Q14" s="4" t="s">
        <v>108</v>
      </c>
    </row>
    <row r="15" spans="1:17" ht="45.95" customHeight="1">
      <c r="A15" s="1" t="s">
        <v>109</v>
      </c>
      <c r="B15" s="1" t="s">
        <v>55</v>
      </c>
      <c r="C15" s="1" t="s">
        <v>110</v>
      </c>
      <c r="D15" s="4" t="s">
        <v>111</v>
      </c>
      <c r="E15" s="4" t="s">
        <v>112</v>
      </c>
      <c r="F15" s="2">
        <v>1</v>
      </c>
      <c r="G15" s="2">
        <v>1</v>
      </c>
      <c r="H15" s="5">
        <v>0</v>
      </c>
      <c r="I15" s="2">
        <f t="shared" si="0"/>
        <v>1</v>
      </c>
      <c r="J15" s="2">
        <f t="shared" si="1"/>
        <v>1</v>
      </c>
      <c r="K15" s="1" t="s">
        <v>59</v>
      </c>
      <c r="L15" s="6">
        <v>35</v>
      </c>
      <c r="M15" s="3">
        <f t="shared" si="2"/>
        <v>35</v>
      </c>
      <c r="N15" s="4" t="s">
        <v>113</v>
      </c>
      <c r="O15" s="4"/>
      <c r="P15" s="4" t="s">
        <v>114</v>
      </c>
      <c r="Q15" s="4" t="s">
        <v>115</v>
      </c>
    </row>
    <row r="16" spans="1:17" ht="45.95" customHeight="1">
      <c r="A16" s="1" t="s">
        <v>116</v>
      </c>
      <c r="B16" s="1" t="s">
        <v>72</v>
      </c>
      <c r="C16" s="1" t="s">
        <v>110</v>
      </c>
      <c r="D16" s="4" t="s">
        <v>117</v>
      </c>
      <c r="E16" s="4" t="s">
        <v>118</v>
      </c>
      <c r="F16" s="2">
        <v>1</v>
      </c>
      <c r="G16" s="2">
        <v>1</v>
      </c>
      <c r="H16" s="5">
        <v>0</v>
      </c>
      <c r="I16" s="2">
        <f t="shared" si="0"/>
        <v>1</v>
      </c>
      <c r="J16" s="2">
        <f t="shared" si="1"/>
        <v>1</v>
      </c>
      <c r="K16" s="1" t="s">
        <v>59</v>
      </c>
      <c r="L16" s="6">
        <v>35</v>
      </c>
      <c r="M16" s="3">
        <f t="shared" si="2"/>
        <v>35</v>
      </c>
      <c r="N16" s="4" t="s">
        <v>113</v>
      </c>
      <c r="O16" s="4"/>
      <c r="P16" s="4" t="s">
        <v>119</v>
      </c>
      <c r="Q16" s="4" t="s">
        <v>115</v>
      </c>
    </row>
    <row r="17" spans="1:17" ht="45.95" customHeight="1">
      <c r="A17" s="1" t="s">
        <v>120</v>
      </c>
      <c r="B17" s="1" t="s">
        <v>55</v>
      </c>
      <c r="C17" s="1" t="s">
        <v>121</v>
      </c>
      <c r="D17" s="4" t="s">
        <v>122</v>
      </c>
      <c r="E17" s="4" t="s">
        <v>123</v>
      </c>
      <c r="F17" s="2">
        <v>1</v>
      </c>
      <c r="G17" s="2">
        <v>1</v>
      </c>
      <c r="H17" s="5">
        <v>0</v>
      </c>
      <c r="I17" s="2">
        <f t="shared" si="0"/>
        <v>1</v>
      </c>
      <c r="J17" s="2">
        <f t="shared" si="1"/>
        <v>1</v>
      </c>
      <c r="K17" s="1" t="s">
        <v>59</v>
      </c>
      <c r="L17" s="6">
        <v>35</v>
      </c>
      <c r="M17" s="3">
        <f t="shared" si="2"/>
        <v>35</v>
      </c>
      <c r="N17" s="4" t="s">
        <v>113</v>
      </c>
      <c r="O17" s="4"/>
      <c r="P17" s="4" t="s">
        <v>124</v>
      </c>
      <c r="Q17" s="4" t="s">
        <v>125</v>
      </c>
    </row>
    <row r="18" spans="1:17" ht="45.95" customHeight="1">
      <c r="A18" s="1" t="s">
        <v>126</v>
      </c>
      <c r="B18" s="1" t="s">
        <v>55</v>
      </c>
      <c r="C18" s="1" t="s">
        <v>127</v>
      </c>
      <c r="D18" s="4" t="s">
        <v>128</v>
      </c>
      <c r="E18" s="4" t="s">
        <v>129</v>
      </c>
      <c r="F18" s="2">
        <v>1</v>
      </c>
      <c r="G18" s="2">
        <v>1</v>
      </c>
      <c r="H18" s="5">
        <v>0</v>
      </c>
      <c r="I18" s="2">
        <f t="shared" si="0"/>
        <v>1</v>
      </c>
      <c r="J18" s="2">
        <f t="shared" si="1"/>
        <v>1</v>
      </c>
      <c r="K18" s="1" t="s">
        <v>59</v>
      </c>
      <c r="L18" s="6">
        <v>25</v>
      </c>
      <c r="M18" s="3">
        <f t="shared" si="2"/>
        <v>25</v>
      </c>
      <c r="N18" s="4" t="s">
        <v>113</v>
      </c>
      <c r="O18" s="4"/>
      <c r="P18" s="4" t="s">
        <v>130</v>
      </c>
      <c r="Q18" s="4" t="s">
        <v>131</v>
      </c>
    </row>
    <row r="19" spans="1:17" ht="45.95" customHeight="1">
      <c r="A19" s="1" t="s">
        <v>132</v>
      </c>
      <c r="B19" s="1" t="s">
        <v>55</v>
      </c>
      <c r="C19" s="1" t="s">
        <v>110</v>
      </c>
      <c r="D19" s="4" t="s">
        <v>133</v>
      </c>
      <c r="E19" s="4" t="s">
        <v>134</v>
      </c>
      <c r="F19" s="2">
        <v>1</v>
      </c>
      <c r="G19" s="2">
        <v>1</v>
      </c>
      <c r="H19" s="5">
        <v>0</v>
      </c>
      <c r="I19" s="2">
        <f t="shared" si="0"/>
        <v>1</v>
      </c>
      <c r="J19" s="2">
        <f t="shared" si="1"/>
        <v>1</v>
      </c>
      <c r="K19" s="1" t="s">
        <v>59</v>
      </c>
      <c r="L19" s="6">
        <v>35</v>
      </c>
      <c r="M19" s="3">
        <f t="shared" si="2"/>
        <v>35</v>
      </c>
      <c r="N19" s="4" t="s">
        <v>113</v>
      </c>
      <c r="O19" s="4"/>
      <c r="P19" s="4" t="s">
        <v>135</v>
      </c>
      <c r="Q19" s="4" t="s">
        <v>115</v>
      </c>
    </row>
    <row r="20" spans="1:17" ht="45.95" customHeight="1">
      <c r="A20" s="1" t="s">
        <v>136</v>
      </c>
      <c r="B20" s="1" t="s">
        <v>55</v>
      </c>
      <c r="C20" s="1" t="s">
        <v>137</v>
      </c>
      <c r="D20" s="4" t="s">
        <v>138</v>
      </c>
      <c r="E20" s="4" t="s">
        <v>139</v>
      </c>
      <c r="F20" s="2">
        <v>1</v>
      </c>
      <c r="G20" s="2">
        <v>1</v>
      </c>
      <c r="H20" s="5">
        <v>1</v>
      </c>
      <c r="I20" s="2">
        <f t="shared" si="0"/>
        <v>0</v>
      </c>
      <c r="J20" s="2">
        <f t="shared" si="1"/>
        <v>0</v>
      </c>
      <c r="K20" s="1" t="s">
        <v>59</v>
      </c>
      <c r="L20" s="6">
        <v>180</v>
      </c>
      <c r="M20" s="3">
        <f t="shared" si="2"/>
        <v>0</v>
      </c>
      <c r="N20" s="4" t="s">
        <v>99</v>
      </c>
      <c r="O20" s="4"/>
      <c r="P20" s="4" t="s">
        <v>140</v>
      </c>
      <c r="Q20" s="4" t="s">
        <v>141</v>
      </c>
    </row>
    <row r="21" spans="1:17" ht="45.95" customHeight="1">
      <c r="A21" s="1" t="s">
        <v>142</v>
      </c>
      <c r="B21" s="1" t="s">
        <v>55</v>
      </c>
      <c r="C21" s="1" t="s">
        <v>143</v>
      </c>
      <c r="D21" s="4" t="s">
        <v>144</v>
      </c>
      <c r="E21" s="4" t="s">
        <v>145</v>
      </c>
      <c r="F21" s="2">
        <v>1</v>
      </c>
      <c r="G21" s="2">
        <v>1</v>
      </c>
      <c r="H21" s="5">
        <v>0</v>
      </c>
      <c r="I21" s="2">
        <f t="shared" si="0"/>
        <v>1</v>
      </c>
      <c r="J21" s="2">
        <f t="shared" si="1"/>
        <v>1</v>
      </c>
      <c r="K21" s="1" t="s">
        <v>59</v>
      </c>
      <c r="L21" s="6">
        <v>420</v>
      </c>
      <c r="M21" s="3">
        <f t="shared" si="2"/>
        <v>420</v>
      </c>
      <c r="N21" s="4" t="s">
        <v>146</v>
      </c>
      <c r="O21" s="4" t="s">
        <v>147</v>
      </c>
      <c r="P21" s="4" t="s">
        <v>148</v>
      </c>
      <c r="Q21" s="4" t="s">
        <v>149</v>
      </c>
    </row>
    <row r="22" spans="1:17" ht="45.95" customHeight="1">
      <c r="A22" s="1" t="s">
        <v>150</v>
      </c>
      <c r="B22" s="1" t="s">
        <v>64</v>
      </c>
      <c r="C22" s="1" t="s">
        <v>143</v>
      </c>
      <c r="D22" s="4" t="s">
        <v>151</v>
      </c>
      <c r="E22" s="4" t="s">
        <v>152</v>
      </c>
      <c r="F22" s="2">
        <v>4</v>
      </c>
      <c r="G22" s="2">
        <v>5</v>
      </c>
      <c r="H22" s="5">
        <v>0</v>
      </c>
      <c r="I22" s="2">
        <f t="shared" si="0"/>
        <v>4</v>
      </c>
      <c r="J22" s="2">
        <f t="shared" si="1"/>
        <v>5</v>
      </c>
      <c r="K22" s="1" t="s">
        <v>59</v>
      </c>
      <c r="L22" s="6">
        <v>239</v>
      </c>
      <c r="M22" s="3">
        <f t="shared" si="2"/>
        <v>956</v>
      </c>
      <c r="N22" s="4" t="s">
        <v>153</v>
      </c>
      <c r="O22" s="4" t="s">
        <v>154</v>
      </c>
      <c r="P22" s="4" t="s">
        <v>155</v>
      </c>
      <c r="Q22" s="4" t="s">
        <v>156</v>
      </c>
    </row>
    <row r="23" spans="1:17" ht="45.95" customHeight="1">
      <c r="A23" s="1" t="s">
        <v>157</v>
      </c>
      <c r="B23" s="1" t="s">
        <v>158</v>
      </c>
      <c r="C23" s="1" t="s">
        <v>159</v>
      </c>
      <c r="D23" s="4" t="s">
        <v>160</v>
      </c>
      <c r="E23" s="4" t="s">
        <v>161</v>
      </c>
      <c r="F23" s="2">
        <v>6</v>
      </c>
      <c r="G23" s="2">
        <v>7</v>
      </c>
      <c r="H23" s="5">
        <v>4</v>
      </c>
      <c r="I23" s="2">
        <f t="shared" si="0"/>
        <v>2</v>
      </c>
      <c r="J23" s="2">
        <f t="shared" si="1"/>
        <v>3</v>
      </c>
      <c r="K23" s="1" t="s">
        <v>59</v>
      </c>
      <c r="L23" s="6">
        <v>260</v>
      </c>
      <c r="M23" s="3">
        <f t="shared" si="2"/>
        <v>520</v>
      </c>
      <c r="N23" s="4" t="s">
        <v>162</v>
      </c>
      <c r="O23" s="4"/>
      <c r="P23" s="4" t="s">
        <v>163</v>
      </c>
      <c r="Q23" s="4" t="s">
        <v>164</v>
      </c>
    </row>
    <row r="24" spans="1:17" ht="45.95" customHeight="1">
      <c r="A24" s="1" t="s">
        <v>165</v>
      </c>
      <c r="B24" s="1" t="s">
        <v>55</v>
      </c>
      <c r="C24" s="1" t="s">
        <v>166</v>
      </c>
      <c r="D24" s="4" t="s">
        <v>167</v>
      </c>
      <c r="E24" s="4" t="s">
        <v>168</v>
      </c>
      <c r="F24" s="2">
        <v>1</v>
      </c>
      <c r="G24" s="2">
        <v>1</v>
      </c>
      <c r="H24" s="5">
        <v>1</v>
      </c>
      <c r="I24" s="2">
        <f t="shared" si="0"/>
        <v>0</v>
      </c>
      <c r="J24" s="2">
        <f t="shared" si="1"/>
        <v>0</v>
      </c>
      <c r="K24" s="1" t="s">
        <v>59</v>
      </c>
      <c r="L24" s="6">
        <v>300</v>
      </c>
      <c r="M24" s="3">
        <f t="shared" si="2"/>
        <v>0</v>
      </c>
      <c r="N24" s="4" t="s">
        <v>169</v>
      </c>
      <c r="O24" s="4"/>
      <c r="P24" s="4" t="s">
        <v>170</v>
      </c>
      <c r="Q24" s="4" t="s">
        <v>171</v>
      </c>
    </row>
    <row r="25" spans="1:17" ht="45.95" customHeight="1">
      <c r="A25" s="1" t="s">
        <v>172</v>
      </c>
      <c r="B25" s="1" t="s">
        <v>55</v>
      </c>
      <c r="C25" s="1" t="s">
        <v>173</v>
      </c>
      <c r="D25" s="4" t="s">
        <v>174</v>
      </c>
      <c r="E25" s="4" t="s">
        <v>175</v>
      </c>
      <c r="F25" s="2">
        <v>1</v>
      </c>
      <c r="G25" s="2">
        <v>1</v>
      </c>
      <c r="H25" s="5">
        <v>1</v>
      </c>
      <c r="I25" s="2">
        <f t="shared" si="0"/>
        <v>0</v>
      </c>
      <c r="J25" s="2">
        <f t="shared" si="1"/>
        <v>0</v>
      </c>
      <c r="K25" s="1" t="s">
        <v>59</v>
      </c>
      <c r="L25" s="6">
        <v>100</v>
      </c>
      <c r="M25" s="3">
        <f t="shared" si="2"/>
        <v>0</v>
      </c>
      <c r="N25" s="4" t="s">
        <v>99</v>
      </c>
      <c r="O25" s="4"/>
      <c r="P25" s="4" t="s">
        <v>176</v>
      </c>
      <c r="Q25" s="4" t="s">
        <v>177</v>
      </c>
    </row>
    <row r="26" spans="1:17" ht="45.95" customHeight="1">
      <c r="A26" s="1" t="s">
        <v>178</v>
      </c>
      <c r="B26" s="1" t="s">
        <v>179</v>
      </c>
      <c r="C26" s="1" t="s">
        <v>173</v>
      </c>
      <c r="D26" s="4" t="s">
        <v>180</v>
      </c>
      <c r="E26" s="4" t="s">
        <v>181</v>
      </c>
      <c r="F26" s="2">
        <v>1</v>
      </c>
      <c r="G26" s="2">
        <v>1</v>
      </c>
      <c r="H26" s="5">
        <v>1</v>
      </c>
      <c r="I26" s="2">
        <f t="shared" si="0"/>
        <v>0</v>
      </c>
      <c r="J26" s="2">
        <f t="shared" si="1"/>
        <v>0</v>
      </c>
      <c r="K26" s="1" t="s">
        <v>59</v>
      </c>
      <c r="L26" s="6">
        <v>150</v>
      </c>
      <c r="M26" s="3">
        <f t="shared" si="2"/>
        <v>0</v>
      </c>
      <c r="N26" s="4" t="s">
        <v>99</v>
      </c>
      <c r="O26" s="4"/>
      <c r="P26" s="4" t="s">
        <v>182</v>
      </c>
      <c r="Q26" s="4" t="s">
        <v>183</v>
      </c>
    </row>
    <row r="27" spans="1:17" ht="45.95" customHeight="1">
      <c r="A27" s="1" t="s">
        <v>184</v>
      </c>
      <c r="B27" s="1" t="s">
        <v>179</v>
      </c>
      <c r="C27" s="1" t="s">
        <v>173</v>
      </c>
      <c r="D27" s="4" t="s">
        <v>185</v>
      </c>
      <c r="E27" s="4" t="s">
        <v>186</v>
      </c>
      <c r="F27" s="2">
        <v>1</v>
      </c>
      <c r="G27" s="2">
        <v>1</v>
      </c>
      <c r="H27" s="5">
        <v>1</v>
      </c>
      <c r="I27" s="2">
        <f t="shared" si="0"/>
        <v>0</v>
      </c>
      <c r="J27" s="2">
        <f t="shared" si="1"/>
        <v>0</v>
      </c>
      <c r="K27" s="1" t="s">
        <v>59</v>
      </c>
      <c r="L27" s="6">
        <v>100</v>
      </c>
      <c r="M27" s="3">
        <f t="shared" si="2"/>
        <v>0</v>
      </c>
      <c r="N27" s="4" t="s">
        <v>99</v>
      </c>
      <c r="O27" s="4"/>
      <c r="P27" s="4" t="s">
        <v>187</v>
      </c>
      <c r="Q27" s="4" t="s">
        <v>183</v>
      </c>
    </row>
    <row r="28" spans="1:17" ht="45.95" customHeight="1">
      <c r="A28" s="1" t="s">
        <v>188</v>
      </c>
      <c r="B28" s="1" t="s">
        <v>72</v>
      </c>
      <c r="C28" s="1" t="s">
        <v>110</v>
      </c>
      <c r="D28" s="4" t="s">
        <v>189</v>
      </c>
      <c r="E28" s="4" t="s">
        <v>190</v>
      </c>
      <c r="F28" s="2">
        <v>1</v>
      </c>
      <c r="G28" s="2">
        <v>1</v>
      </c>
      <c r="H28" s="5">
        <v>0</v>
      </c>
      <c r="I28" s="2">
        <f t="shared" si="0"/>
        <v>1</v>
      </c>
      <c r="J28" s="2">
        <f t="shared" si="1"/>
        <v>1</v>
      </c>
      <c r="K28" s="1" t="s">
        <v>59</v>
      </c>
      <c r="L28" s="6">
        <v>100</v>
      </c>
      <c r="M28" s="3">
        <f t="shared" si="2"/>
        <v>100</v>
      </c>
      <c r="N28" s="4" t="s">
        <v>113</v>
      </c>
      <c r="O28" s="4"/>
      <c r="P28" s="4" t="s">
        <v>191</v>
      </c>
      <c r="Q28" s="4" t="s">
        <v>115</v>
      </c>
    </row>
    <row r="29" spans="1:17" ht="45.95" customHeight="1">
      <c r="A29" s="1" t="s">
        <v>192</v>
      </c>
      <c r="B29" s="1" t="s">
        <v>72</v>
      </c>
      <c r="C29" s="1" t="s">
        <v>110</v>
      </c>
      <c r="D29" s="4" t="s">
        <v>193</v>
      </c>
      <c r="E29" s="4" t="s">
        <v>194</v>
      </c>
      <c r="F29" s="2">
        <v>1</v>
      </c>
      <c r="G29" s="2">
        <v>1</v>
      </c>
      <c r="H29" s="5">
        <v>0</v>
      </c>
      <c r="I29" s="2">
        <f t="shared" si="0"/>
        <v>1</v>
      </c>
      <c r="J29" s="2">
        <f t="shared" si="1"/>
        <v>1</v>
      </c>
      <c r="K29" s="1" t="s">
        <v>59</v>
      </c>
      <c r="L29" s="6">
        <v>80</v>
      </c>
      <c r="M29" s="3">
        <f t="shared" si="2"/>
        <v>80</v>
      </c>
      <c r="N29" s="4" t="s">
        <v>113</v>
      </c>
      <c r="O29" s="4"/>
      <c r="P29" s="4" t="s">
        <v>195</v>
      </c>
      <c r="Q29" s="4" t="s">
        <v>115</v>
      </c>
    </row>
    <row r="30" spans="1:17" ht="45.95" customHeight="1">
      <c r="A30" s="1" t="s">
        <v>196</v>
      </c>
      <c r="B30" s="1" t="s">
        <v>72</v>
      </c>
      <c r="C30" s="1" t="s">
        <v>197</v>
      </c>
      <c r="D30" s="4" t="s">
        <v>198</v>
      </c>
      <c r="E30" s="4" t="s">
        <v>199</v>
      </c>
      <c r="F30" s="2">
        <v>5</v>
      </c>
      <c r="G30" s="2">
        <v>6</v>
      </c>
      <c r="H30" s="5">
        <v>0</v>
      </c>
      <c r="I30" s="2">
        <f t="shared" si="0"/>
        <v>5</v>
      </c>
      <c r="J30" s="2">
        <f t="shared" si="1"/>
        <v>6</v>
      </c>
      <c r="K30" s="1" t="s">
        <v>200</v>
      </c>
      <c r="L30" s="6">
        <v>8</v>
      </c>
      <c r="M30" s="3">
        <f t="shared" si="2"/>
        <v>40</v>
      </c>
      <c r="N30" s="4" t="s">
        <v>201</v>
      </c>
      <c r="O30" s="4"/>
      <c r="P30" s="4" t="s">
        <v>202</v>
      </c>
      <c r="Q30" s="4" t="s">
        <v>203</v>
      </c>
    </row>
    <row r="31" spans="1:17" ht="45.95" customHeight="1">
      <c r="A31" s="1" t="s">
        <v>204</v>
      </c>
      <c r="B31" s="1" t="s">
        <v>55</v>
      </c>
      <c r="C31" s="1" t="s">
        <v>205</v>
      </c>
      <c r="D31" s="4" t="s">
        <v>206</v>
      </c>
      <c r="E31" s="4" t="s">
        <v>207</v>
      </c>
      <c r="F31" s="2">
        <v>1</v>
      </c>
      <c r="G31" s="2">
        <v>1</v>
      </c>
      <c r="H31" s="5">
        <v>0</v>
      </c>
      <c r="I31" s="2">
        <f t="shared" si="0"/>
        <v>1</v>
      </c>
      <c r="J31" s="2">
        <f t="shared" si="1"/>
        <v>1</v>
      </c>
      <c r="K31" s="1" t="s">
        <v>59</v>
      </c>
      <c r="L31" s="6">
        <v>60</v>
      </c>
      <c r="M31" s="3">
        <f t="shared" si="2"/>
        <v>60</v>
      </c>
      <c r="N31" s="4" t="s">
        <v>113</v>
      </c>
      <c r="O31" s="4"/>
      <c r="P31" s="4" t="s">
        <v>208</v>
      </c>
      <c r="Q31" s="4" t="s">
        <v>209</v>
      </c>
    </row>
    <row r="32" spans="1:17" ht="45.95" customHeight="1">
      <c r="A32" s="1" t="s">
        <v>210</v>
      </c>
      <c r="B32" s="1" t="s">
        <v>64</v>
      </c>
      <c r="C32" s="1" t="s">
        <v>205</v>
      </c>
      <c r="D32" s="4" t="s">
        <v>206</v>
      </c>
      <c r="E32" s="4" t="s">
        <v>211</v>
      </c>
      <c r="F32" s="2">
        <v>4</v>
      </c>
      <c r="G32" s="2">
        <v>5</v>
      </c>
      <c r="H32" s="5">
        <v>0</v>
      </c>
      <c r="I32" s="2">
        <f t="shared" si="0"/>
        <v>4</v>
      </c>
      <c r="J32" s="2">
        <f t="shared" si="1"/>
        <v>5</v>
      </c>
      <c r="K32" s="1" t="s">
        <v>59</v>
      </c>
      <c r="L32" s="6">
        <v>45</v>
      </c>
      <c r="M32" s="3">
        <f t="shared" si="2"/>
        <v>180</v>
      </c>
      <c r="N32" s="4" t="s">
        <v>113</v>
      </c>
      <c r="O32" s="4"/>
      <c r="P32" s="4" t="s">
        <v>212</v>
      </c>
      <c r="Q32" s="4" t="s">
        <v>209</v>
      </c>
    </row>
    <row r="33" spans="1:17" ht="45.95" customHeight="1">
      <c r="A33" s="1" t="s">
        <v>213</v>
      </c>
      <c r="B33" s="1" t="s">
        <v>158</v>
      </c>
      <c r="C33" s="1" t="s">
        <v>205</v>
      </c>
      <c r="D33" s="4" t="s">
        <v>214</v>
      </c>
      <c r="E33" s="4" t="s">
        <v>215</v>
      </c>
      <c r="F33" s="2">
        <v>4</v>
      </c>
      <c r="G33" s="2">
        <v>5</v>
      </c>
      <c r="H33" s="5">
        <v>0</v>
      </c>
      <c r="I33" s="2">
        <f t="shared" si="0"/>
        <v>4</v>
      </c>
      <c r="J33" s="2">
        <f t="shared" si="1"/>
        <v>5</v>
      </c>
      <c r="K33" s="1" t="s">
        <v>59</v>
      </c>
      <c r="L33" s="6">
        <v>30</v>
      </c>
      <c r="M33" s="3">
        <f t="shared" si="2"/>
        <v>120</v>
      </c>
      <c r="N33" s="4" t="s">
        <v>113</v>
      </c>
      <c r="O33" s="4"/>
      <c r="P33" s="4" t="s">
        <v>216</v>
      </c>
      <c r="Q33" s="4" t="s">
        <v>217</v>
      </c>
    </row>
    <row r="34" spans="1:17" ht="45.95" customHeight="1">
      <c r="A34" s="1" t="s">
        <v>218</v>
      </c>
      <c r="B34" s="1" t="s">
        <v>158</v>
      </c>
      <c r="C34" s="1" t="s">
        <v>219</v>
      </c>
      <c r="D34" s="4" t="s">
        <v>220</v>
      </c>
      <c r="E34" s="4" t="s">
        <v>221</v>
      </c>
      <c r="F34" s="2">
        <v>10</v>
      </c>
      <c r="G34" s="2">
        <v>12</v>
      </c>
      <c r="H34" s="5">
        <v>0</v>
      </c>
      <c r="I34" s="2">
        <f t="shared" si="0"/>
        <v>10</v>
      </c>
      <c r="J34" s="2">
        <f t="shared" si="1"/>
        <v>12</v>
      </c>
      <c r="K34" s="1" t="s">
        <v>59</v>
      </c>
      <c r="L34" s="6">
        <v>12</v>
      </c>
      <c r="M34" s="3">
        <f t="shared" si="2"/>
        <v>120</v>
      </c>
      <c r="N34" s="4" t="s">
        <v>222</v>
      </c>
      <c r="O34" s="4"/>
      <c r="P34" s="4" t="s">
        <v>223</v>
      </c>
      <c r="Q34" s="4" t="s">
        <v>217</v>
      </c>
    </row>
    <row r="35" spans="1:17" ht="45.95" customHeight="1">
      <c r="A35" s="1" t="s">
        <v>224</v>
      </c>
      <c r="B35" s="1" t="s">
        <v>158</v>
      </c>
      <c r="C35" s="1" t="s">
        <v>225</v>
      </c>
      <c r="D35" s="4" t="s">
        <v>226</v>
      </c>
      <c r="E35" s="4" t="s">
        <v>227</v>
      </c>
      <c r="F35" s="2">
        <v>3</v>
      </c>
      <c r="G35" s="2">
        <v>3</v>
      </c>
      <c r="H35" s="5">
        <v>0</v>
      </c>
      <c r="I35" s="2">
        <f t="shared" si="0"/>
        <v>3</v>
      </c>
      <c r="J35" s="2">
        <f t="shared" si="1"/>
        <v>3</v>
      </c>
      <c r="K35" s="1" t="s">
        <v>59</v>
      </c>
      <c r="L35" s="6">
        <v>53</v>
      </c>
      <c r="M35" s="3">
        <f t="shared" si="2"/>
        <v>159</v>
      </c>
      <c r="N35" s="4" t="s">
        <v>228</v>
      </c>
      <c r="O35" s="4" t="s">
        <v>229</v>
      </c>
      <c r="P35" s="4" t="s">
        <v>230</v>
      </c>
      <c r="Q35" s="4" t="s">
        <v>231</v>
      </c>
    </row>
    <row r="36" spans="1:17" ht="45.95" customHeight="1">
      <c r="A36" s="1" t="s">
        <v>232</v>
      </c>
      <c r="B36" s="1" t="s">
        <v>158</v>
      </c>
      <c r="C36" s="1" t="s">
        <v>225</v>
      </c>
      <c r="D36" s="4" t="s">
        <v>233</v>
      </c>
      <c r="E36" s="4" t="s">
        <v>234</v>
      </c>
      <c r="F36" s="2">
        <v>2</v>
      </c>
      <c r="G36" s="2">
        <v>2</v>
      </c>
      <c r="H36" s="5">
        <v>0</v>
      </c>
      <c r="I36" s="2">
        <f t="shared" si="0"/>
        <v>2</v>
      </c>
      <c r="J36" s="2">
        <f t="shared" si="1"/>
        <v>2</v>
      </c>
      <c r="K36" s="1" t="s">
        <v>59</v>
      </c>
      <c r="L36" s="6">
        <v>45</v>
      </c>
      <c r="M36" s="3">
        <f t="shared" si="2"/>
        <v>90</v>
      </c>
      <c r="N36" s="4" t="s">
        <v>235</v>
      </c>
      <c r="O36" s="4" t="s">
        <v>236</v>
      </c>
      <c r="P36" s="4" t="s">
        <v>237</v>
      </c>
      <c r="Q36" s="4" t="s">
        <v>231</v>
      </c>
    </row>
    <row r="37" spans="1:17" ht="45.95" customHeight="1">
      <c r="A37" s="1" t="s">
        <v>238</v>
      </c>
      <c r="B37" s="1" t="s">
        <v>158</v>
      </c>
      <c r="C37" s="1" t="s">
        <v>239</v>
      </c>
      <c r="D37" s="4" t="s">
        <v>240</v>
      </c>
      <c r="E37" s="4" t="s">
        <v>241</v>
      </c>
      <c r="F37" s="2">
        <v>1</v>
      </c>
      <c r="G37" s="2">
        <v>1</v>
      </c>
      <c r="H37" s="5">
        <v>0</v>
      </c>
      <c r="I37" s="2">
        <f t="shared" si="0"/>
        <v>1</v>
      </c>
      <c r="J37" s="2">
        <f t="shared" si="1"/>
        <v>1</v>
      </c>
      <c r="K37" s="1" t="s">
        <v>59</v>
      </c>
      <c r="L37" s="6">
        <v>120</v>
      </c>
      <c r="M37" s="3">
        <f t="shared" si="2"/>
        <v>120</v>
      </c>
      <c r="N37" s="4" t="s">
        <v>113</v>
      </c>
      <c r="O37" s="4"/>
      <c r="P37" s="4" t="s">
        <v>242</v>
      </c>
      <c r="Q37" s="4" t="s">
        <v>243</v>
      </c>
    </row>
    <row r="38" spans="1:17" ht="45.95" customHeight="1">
      <c r="A38" s="1" t="s">
        <v>244</v>
      </c>
      <c r="B38" s="1" t="s">
        <v>158</v>
      </c>
      <c r="C38" s="1" t="s">
        <v>245</v>
      </c>
      <c r="D38" s="4" t="s">
        <v>246</v>
      </c>
      <c r="E38" s="4" t="s">
        <v>247</v>
      </c>
      <c r="F38" s="2">
        <v>20</v>
      </c>
      <c r="G38" s="2">
        <v>24</v>
      </c>
      <c r="H38" s="5">
        <v>0</v>
      </c>
      <c r="I38" s="2">
        <f t="shared" si="0"/>
        <v>20</v>
      </c>
      <c r="J38" s="2">
        <f t="shared" si="1"/>
        <v>24</v>
      </c>
      <c r="K38" s="1" t="s">
        <v>59</v>
      </c>
      <c r="L38" s="6">
        <v>5</v>
      </c>
      <c r="M38" s="3">
        <f t="shared" si="2"/>
        <v>100</v>
      </c>
      <c r="N38" s="4" t="s">
        <v>248</v>
      </c>
      <c r="O38" s="4"/>
      <c r="P38" s="4" t="s">
        <v>249</v>
      </c>
      <c r="Q38" s="4" t="s">
        <v>250</v>
      </c>
    </row>
    <row r="39" spans="1:17" ht="45.95" customHeight="1">
      <c r="A39" s="1" t="s">
        <v>251</v>
      </c>
      <c r="B39" s="1" t="s">
        <v>158</v>
      </c>
      <c r="C39" s="1" t="s">
        <v>245</v>
      </c>
      <c r="D39" s="4" t="s">
        <v>252</v>
      </c>
      <c r="E39" s="4" t="s">
        <v>253</v>
      </c>
      <c r="F39" s="2">
        <v>20</v>
      </c>
      <c r="G39" s="2">
        <v>24</v>
      </c>
      <c r="H39" s="5">
        <v>0</v>
      </c>
      <c r="I39" s="2">
        <f t="shared" si="0"/>
        <v>20</v>
      </c>
      <c r="J39" s="2">
        <f t="shared" si="1"/>
        <v>24</v>
      </c>
      <c r="K39" s="1" t="s">
        <v>59</v>
      </c>
      <c r="L39" s="6">
        <v>4</v>
      </c>
      <c r="M39" s="3">
        <f t="shared" si="2"/>
        <v>80</v>
      </c>
      <c r="N39" s="4" t="s">
        <v>254</v>
      </c>
      <c r="O39" s="4"/>
      <c r="P39" s="4" t="s">
        <v>255</v>
      </c>
      <c r="Q39" s="4" t="s">
        <v>250</v>
      </c>
    </row>
    <row r="40" spans="1:17" ht="45.95" customHeight="1">
      <c r="A40" s="1" t="s">
        <v>256</v>
      </c>
      <c r="B40" s="1" t="s">
        <v>158</v>
      </c>
      <c r="C40" s="1" t="s">
        <v>245</v>
      </c>
      <c r="D40" s="4" t="s">
        <v>257</v>
      </c>
      <c r="E40" s="4" t="s">
        <v>258</v>
      </c>
      <c r="F40" s="2">
        <v>1</v>
      </c>
      <c r="G40" s="2">
        <v>1</v>
      </c>
      <c r="H40" s="5">
        <v>0</v>
      </c>
      <c r="I40" s="2">
        <f t="shared" si="0"/>
        <v>1</v>
      </c>
      <c r="J40" s="2">
        <f t="shared" si="1"/>
        <v>1</v>
      </c>
      <c r="K40" s="1" t="s">
        <v>59</v>
      </c>
      <c r="L40" s="6">
        <v>180</v>
      </c>
      <c r="M40" s="3">
        <f t="shared" si="2"/>
        <v>180</v>
      </c>
      <c r="N40" s="4" t="s">
        <v>113</v>
      </c>
      <c r="O40" s="4"/>
      <c r="P40" s="4" t="s">
        <v>259</v>
      </c>
      <c r="Q40" s="4" t="s">
        <v>250</v>
      </c>
    </row>
    <row r="41" spans="1:17" ht="45.95" customHeight="1">
      <c r="A41" s="1" t="s">
        <v>260</v>
      </c>
      <c r="B41" s="1" t="s">
        <v>158</v>
      </c>
      <c r="C41" s="1" t="s">
        <v>261</v>
      </c>
      <c r="D41" s="4" t="s">
        <v>262</v>
      </c>
      <c r="E41" s="4" t="s">
        <v>263</v>
      </c>
      <c r="F41" s="2">
        <v>5</v>
      </c>
      <c r="G41" s="2">
        <v>6</v>
      </c>
      <c r="H41" s="5">
        <v>0</v>
      </c>
      <c r="I41" s="2">
        <f t="shared" si="0"/>
        <v>5</v>
      </c>
      <c r="J41" s="2">
        <f t="shared" si="1"/>
        <v>6</v>
      </c>
      <c r="K41" s="1" t="s">
        <v>264</v>
      </c>
      <c r="L41" s="6">
        <v>0</v>
      </c>
      <c r="M41" s="3">
        <f t="shared" si="2"/>
        <v>0</v>
      </c>
      <c r="N41" s="4" t="s">
        <v>265</v>
      </c>
      <c r="O41" s="4"/>
      <c r="P41" s="4" t="s">
        <v>266</v>
      </c>
      <c r="Q41" s="4" t="s">
        <v>267</v>
      </c>
    </row>
    <row r="42" spans="1:17" ht="45.95" customHeight="1">
      <c r="A42" s="1" t="s">
        <v>268</v>
      </c>
      <c r="B42" s="1" t="s">
        <v>269</v>
      </c>
      <c r="C42" s="1" t="s">
        <v>270</v>
      </c>
      <c r="D42" s="4" t="s">
        <v>271</v>
      </c>
      <c r="E42" s="4" t="s">
        <v>272</v>
      </c>
      <c r="F42" s="2">
        <v>1</v>
      </c>
      <c r="G42" s="2">
        <v>1</v>
      </c>
      <c r="H42" s="5">
        <v>0</v>
      </c>
      <c r="I42" s="2">
        <f t="shared" si="0"/>
        <v>1</v>
      </c>
      <c r="J42" s="2">
        <f t="shared" si="1"/>
        <v>1</v>
      </c>
      <c r="K42" s="1" t="s">
        <v>59</v>
      </c>
      <c r="L42" s="6">
        <v>1000</v>
      </c>
      <c r="M42" s="3">
        <f t="shared" si="2"/>
        <v>1000</v>
      </c>
      <c r="N42" s="4" t="s">
        <v>273</v>
      </c>
      <c r="O42" s="4"/>
      <c r="P42" s="4" t="s">
        <v>274</v>
      </c>
      <c r="Q42" s="4" t="s">
        <v>183</v>
      </c>
    </row>
    <row r="43" spans="1:17" ht="45.95" customHeight="1">
      <c r="A43" s="1" t="s">
        <v>275</v>
      </c>
      <c r="B43" s="1" t="s">
        <v>269</v>
      </c>
      <c r="C43" s="1" t="s">
        <v>276</v>
      </c>
      <c r="D43" s="4" t="s">
        <v>277</v>
      </c>
      <c r="E43" s="4" t="s">
        <v>278</v>
      </c>
      <c r="F43" s="2">
        <v>1</v>
      </c>
      <c r="G43" s="2">
        <v>1</v>
      </c>
      <c r="H43" s="5">
        <v>0</v>
      </c>
      <c r="I43" s="2">
        <f t="shared" si="0"/>
        <v>1</v>
      </c>
      <c r="J43" s="2">
        <f t="shared" si="1"/>
        <v>1</v>
      </c>
      <c r="K43" s="1" t="s">
        <v>59</v>
      </c>
      <c r="L43" s="6">
        <v>300</v>
      </c>
      <c r="M43" s="3">
        <f t="shared" si="2"/>
        <v>300</v>
      </c>
      <c r="N43" s="4" t="s">
        <v>279</v>
      </c>
      <c r="O43" s="4"/>
      <c r="P43" s="4" t="s">
        <v>280</v>
      </c>
      <c r="Q43" s="4" t="s">
        <v>183</v>
      </c>
    </row>
    <row r="44" spans="1:17" ht="45.95" customHeight="1">
      <c r="A44" s="1" t="s">
        <v>281</v>
      </c>
      <c r="B44" s="1" t="s">
        <v>269</v>
      </c>
      <c r="C44" s="1" t="s">
        <v>282</v>
      </c>
      <c r="D44" s="4" t="s">
        <v>283</v>
      </c>
      <c r="E44" s="4" t="s">
        <v>284</v>
      </c>
      <c r="F44" s="2">
        <v>1</v>
      </c>
      <c r="G44" s="2">
        <v>1</v>
      </c>
      <c r="H44" s="5">
        <v>0</v>
      </c>
      <c r="I44" s="2">
        <f t="shared" si="0"/>
        <v>1</v>
      </c>
      <c r="J44" s="2">
        <f t="shared" si="1"/>
        <v>1</v>
      </c>
      <c r="K44" s="1" t="s">
        <v>59</v>
      </c>
      <c r="L44" s="6">
        <v>300</v>
      </c>
      <c r="M44" s="3">
        <f t="shared" si="2"/>
        <v>300</v>
      </c>
      <c r="N44" s="4" t="s">
        <v>113</v>
      </c>
      <c r="O44" s="4"/>
      <c r="P44" s="4" t="s">
        <v>285</v>
      </c>
      <c r="Q44" s="4" t="s">
        <v>183</v>
      </c>
    </row>
    <row r="45" spans="1:17" ht="45.95" customHeight="1">
      <c r="A45" s="1" t="s">
        <v>286</v>
      </c>
      <c r="B45" s="1" t="s">
        <v>287</v>
      </c>
      <c r="C45" s="1" t="s">
        <v>288</v>
      </c>
      <c r="D45" s="4" t="s">
        <v>289</v>
      </c>
      <c r="E45" s="4" t="s">
        <v>290</v>
      </c>
      <c r="F45" s="2">
        <v>0</v>
      </c>
      <c r="G45" s="2">
        <v>0</v>
      </c>
      <c r="H45" s="5">
        <v>0</v>
      </c>
      <c r="I45" s="2">
        <f t="shared" si="0"/>
        <v>0</v>
      </c>
      <c r="J45" s="2">
        <f t="shared" si="1"/>
        <v>0</v>
      </c>
      <c r="K45" s="1" t="s">
        <v>291</v>
      </c>
      <c r="L45" s="6">
        <v>199</v>
      </c>
      <c r="M45" s="3">
        <f t="shared" si="2"/>
        <v>0</v>
      </c>
      <c r="N45" s="4" t="s">
        <v>292</v>
      </c>
      <c r="O45" s="4" t="s">
        <v>293</v>
      </c>
      <c r="P45" s="4" t="s">
        <v>294</v>
      </c>
      <c r="Q45" s="4" t="s">
        <v>149</v>
      </c>
    </row>
    <row r="46" spans="1:17" ht="45.95" customHeight="1">
      <c r="A46" s="1" t="s">
        <v>295</v>
      </c>
      <c r="B46" s="1" t="s">
        <v>296</v>
      </c>
      <c r="C46" s="1" t="s">
        <v>297</v>
      </c>
      <c r="D46" s="4" t="s">
        <v>298</v>
      </c>
      <c r="E46" s="4" t="s">
        <v>299</v>
      </c>
      <c r="F46" s="2">
        <v>0</v>
      </c>
      <c r="G46" s="2">
        <v>0</v>
      </c>
      <c r="H46" s="5">
        <v>0</v>
      </c>
      <c r="I46" s="2">
        <f t="shared" si="0"/>
        <v>0</v>
      </c>
      <c r="J46" s="2">
        <f t="shared" si="1"/>
        <v>0</v>
      </c>
      <c r="K46" s="1" t="s">
        <v>300</v>
      </c>
      <c r="L46" s="6">
        <v>247</v>
      </c>
      <c r="M46" s="3">
        <f t="shared" si="2"/>
        <v>0</v>
      </c>
      <c r="N46" s="4" t="s">
        <v>301</v>
      </c>
      <c r="O46" s="4" t="s">
        <v>302</v>
      </c>
      <c r="P46" s="4" t="s">
        <v>303</v>
      </c>
      <c r="Q46" s="4" t="s">
        <v>156</v>
      </c>
    </row>
    <row r="47" spans="1:17" ht="45.95" customHeight="1">
      <c r="A47" s="1" t="s">
        <v>304</v>
      </c>
      <c r="B47" s="1" t="s">
        <v>287</v>
      </c>
      <c r="C47" s="1" t="s">
        <v>305</v>
      </c>
      <c r="D47" s="4" t="s">
        <v>306</v>
      </c>
      <c r="E47" s="4" t="s">
        <v>307</v>
      </c>
      <c r="F47" s="2">
        <v>0</v>
      </c>
      <c r="G47" s="2">
        <v>0</v>
      </c>
      <c r="H47" s="5">
        <v>1</v>
      </c>
      <c r="I47" s="2">
        <f t="shared" si="0"/>
        <v>0</v>
      </c>
      <c r="J47" s="2">
        <f t="shared" si="1"/>
        <v>0</v>
      </c>
      <c r="K47" s="1" t="s">
        <v>308</v>
      </c>
      <c r="L47" s="6">
        <v>0</v>
      </c>
      <c r="M47" s="3">
        <f t="shared" si="2"/>
        <v>0</v>
      </c>
      <c r="N47" s="4" t="s">
        <v>99</v>
      </c>
      <c r="O47" s="4"/>
      <c r="P47" s="4" t="s">
        <v>309</v>
      </c>
      <c r="Q47" s="4" t="s">
        <v>310</v>
      </c>
    </row>
    <row r="48" spans="1:17" ht="45.95" customHeight="1">
      <c r="A48" s="1" t="s">
        <v>311</v>
      </c>
      <c r="B48" s="1" t="s">
        <v>312</v>
      </c>
      <c r="C48" s="1" t="s">
        <v>73</v>
      </c>
      <c r="D48" s="4" t="s">
        <v>313</v>
      </c>
      <c r="E48" s="4" t="s">
        <v>314</v>
      </c>
      <c r="F48" s="2">
        <v>0</v>
      </c>
      <c r="G48" s="2">
        <v>0</v>
      </c>
      <c r="H48" s="5">
        <v>0</v>
      </c>
      <c r="I48" s="2">
        <f t="shared" si="0"/>
        <v>0</v>
      </c>
      <c r="J48" s="2">
        <f t="shared" si="1"/>
        <v>0</v>
      </c>
      <c r="K48" s="1" t="s">
        <v>308</v>
      </c>
      <c r="L48" s="6">
        <v>0</v>
      </c>
      <c r="M48" s="3">
        <f t="shared" si="2"/>
        <v>0</v>
      </c>
      <c r="N48" s="4" t="s">
        <v>315</v>
      </c>
      <c r="O48" s="4"/>
      <c r="P48" s="4" t="s">
        <v>316</v>
      </c>
      <c r="Q48" s="4" t="s">
        <v>317</v>
      </c>
    </row>
  </sheetData>
  <mergeCells count="4">
    <mergeCell ref="A1:Q2"/>
    <mergeCell ref="A3:Q3"/>
    <mergeCell ref="A4:Q4"/>
    <mergeCell ref="A6:Q6"/>
  </mergeCells>
  <conditionalFormatting sqref="I8:J48">
    <cfRule type="cellIs" dxfId="2" priority="1" operator="greaterThan">
      <formula>0</formula>
    </cfRule>
  </conditionalFormatting>
  <conditionalFormatting sqref="K8:K48">
    <cfRule type="containsText" dxfId="1" priority="2" operator="containsText" text="P0"/>
    <cfRule type="containsText" dxfId="0" priority="3" operator="containsText" text="Future"/>
  </conditionalFormatting>
  <dataValidations count="2">
    <dataValidation type="whole" sqref="H8:H48">
      <formula1>0</formula1>
      <formula2>100</formula2>
    </dataValidation>
    <dataValidation type="list" sqref="K8:K48">
      <formula1>"P0,P0 recommended,Buy after assembly,Future qualification,Optional evaluation,P1 - do not buy"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workbookViewId="0">
      <selection sqref="A1:G2"/>
    </sheetView>
  </sheetViews>
  <sheetFormatPr defaultRowHeight="14.25"/>
  <cols>
    <col min="1" max="1" width="19" customWidth="1"/>
    <col min="2" max="2" width="30" customWidth="1"/>
    <col min="3" max="3" width="48" customWidth="1"/>
    <col min="4" max="4" width="42" customWidth="1"/>
    <col min="5" max="5" width="45" customWidth="1"/>
    <col min="6" max="6" width="43" customWidth="1"/>
    <col min="7" max="7" width="45" customWidth="1"/>
  </cols>
  <sheetData>
    <row r="1" spans="1:7" ht="27.95" customHeight="1">
      <c r="A1" s="54" t="s">
        <v>318</v>
      </c>
      <c r="B1" s="54"/>
      <c r="C1" s="54"/>
      <c r="D1" s="54"/>
      <c r="E1" s="54"/>
      <c r="F1" s="54"/>
      <c r="G1" s="54"/>
    </row>
    <row r="2" spans="1:7" ht="27.95" customHeight="1">
      <c r="A2" s="54"/>
      <c r="B2" s="54"/>
      <c r="C2" s="54"/>
      <c r="D2" s="54"/>
      <c r="E2" s="54"/>
      <c r="F2" s="54"/>
      <c r="G2" s="54"/>
    </row>
    <row r="3" spans="1:7" ht="42" customHeight="1">
      <c r="A3" s="55" t="s">
        <v>319</v>
      </c>
      <c r="B3" s="55"/>
      <c r="C3" s="55"/>
      <c r="D3" s="55"/>
      <c r="E3" s="55"/>
      <c r="F3" s="55"/>
      <c r="G3" s="55"/>
    </row>
    <row r="4" spans="1:7" ht="42" customHeight="1">
      <c r="A4" s="55"/>
      <c r="B4" s="55"/>
      <c r="C4" s="55"/>
      <c r="D4" s="55"/>
      <c r="E4" s="55"/>
      <c r="F4" s="55"/>
      <c r="G4" s="55"/>
    </row>
    <row r="6" spans="1:7" ht="33.950000000000003" customHeight="1">
      <c r="A6" s="1" t="s">
        <v>320</v>
      </c>
      <c r="B6" s="1" t="s">
        <v>321</v>
      </c>
      <c r="C6" s="1" t="s">
        <v>322</v>
      </c>
      <c r="D6" s="1" t="s">
        <v>323</v>
      </c>
      <c r="E6" s="1" t="s">
        <v>324</v>
      </c>
      <c r="F6" s="1" t="s">
        <v>325</v>
      </c>
      <c r="G6" s="1" t="s">
        <v>326</v>
      </c>
    </row>
    <row r="7" spans="1:7" ht="72" customHeight="1">
      <c r="A7" s="1" t="s">
        <v>62</v>
      </c>
      <c r="B7" s="4" t="s">
        <v>327</v>
      </c>
      <c r="C7" s="4" t="s">
        <v>328</v>
      </c>
      <c r="D7" s="4" t="s">
        <v>329</v>
      </c>
      <c r="E7" s="4" t="s">
        <v>330</v>
      </c>
      <c r="F7" s="4" t="s">
        <v>331</v>
      </c>
      <c r="G7" s="4" t="s">
        <v>332</v>
      </c>
    </row>
    <row r="8" spans="1:7" ht="72" customHeight="1">
      <c r="A8" s="1" t="s">
        <v>70</v>
      </c>
      <c r="B8" s="4" t="s">
        <v>333</v>
      </c>
      <c r="C8" s="4" t="s">
        <v>334</v>
      </c>
      <c r="D8" s="4" t="s">
        <v>335</v>
      </c>
      <c r="E8" s="4" t="s">
        <v>336</v>
      </c>
      <c r="F8" s="4" t="s">
        <v>337</v>
      </c>
      <c r="G8" s="4" t="s">
        <v>338</v>
      </c>
    </row>
    <row r="9" spans="1:7" ht="72" customHeight="1">
      <c r="A9" s="1" t="s">
        <v>79</v>
      </c>
      <c r="B9" s="4" t="s">
        <v>339</v>
      </c>
      <c r="C9" s="4" t="s">
        <v>340</v>
      </c>
      <c r="D9" s="4" t="s">
        <v>341</v>
      </c>
      <c r="E9" s="4" t="s">
        <v>342</v>
      </c>
      <c r="F9" s="4" t="s">
        <v>343</v>
      </c>
      <c r="G9" s="4" t="s">
        <v>344</v>
      </c>
    </row>
    <row r="10" spans="1:7" ht="72" customHeight="1">
      <c r="A10" s="1" t="s">
        <v>86</v>
      </c>
      <c r="B10" s="4" t="s">
        <v>345</v>
      </c>
      <c r="C10" s="4" t="s">
        <v>346</v>
      </c>
      <c r="D10" s="4" t="s">
        <v>347</v>
      </c>
      <c r="E10" s="4" t="s">
        <v>348</v>
      </c>
      <c r="F10" s="4" t="s">
        <v>349</v>
      </c>
      <c r="G10" s="4" t="s">
        <v>350</v>
      </c>
    </row>
    <row r="11" spans="1:7" ht="72" customHeight="1">
      <c r="A11" s="1" t="s">
        <v>94</v>
      </c>
      <c r="B11" s="4" t="s">
        <v>351</v>
      </c>
      <c r="C11" s="4" t="s">
        <v>352</v>
      </c>
      <c r="D11" s="4" t="s">
        <v>353</v>
      </c>
      <c r="E11" s="4" t="s">
        <v>354</v>
      </c>
      <c r="F11" s="4" t="s">
        <v>355</v>
      </c>
      <c r="G11" s="4" t="s">
        <v>356</v>
      </c>
    </row>
    <row r="12" spans="1:7" ht="72" customHeight="1">
      <c r="A12" s="1" t="s">
        <v>101</v>
      </c>
      <c r="B12" s="4" t="s">
        <v>357</v>
      </c>
      <c r="C12" s="4" t="s">
        <v>358</v>
      </c>
      <c r="D12" s="4" t="s">
        <v>359</v>
      </c>
      <c r="E12" s="4" t="s">
        <v>360</v>
      </c>
      <c r="F12" s="4" t="s">
        <v>361</v>
      </c>
      <c r="G12" s="4" t="s">
        <v>362</v>
      </c>
    </row>
    <row r="13" spans="1:7" ht="72" customHeight="1">
      <c r="A13" s="1" t="s">
        <v>108</v>
      </c>
      <c r="B13" s="4" t="s">
        <v>363</v>
      </c>
      <c r="C13" s="4" t="s">
        <v>364</v>
      </c>
      <c r="D13" s="4" t="s">
        <v>365</v>
      </c>
      <c r="E13" s="4" t="s">
        <v>366</v>
      </c>
      <c r="F13" s="4" t="s">
        <v>367</v>
      </c>
      <c r="G13" s="4" t="s">
        <v>368</v>
      </c>
    </row>
    <row r="14" spans="1:7" ht="72" customHeight="1">
      <c r="A14" s="1" t="s">
        <v>141</v>
      </c>
      <c r="B14" s="4" t="s">
        <v>369</v>
      </c>
      <c r="C14" s="4" t="s">
        <v>370</v>
      </c>
      <c r="D14" s="4" t="s">
        <v>371</v>
      </c>
      <c r="E14" s="4" t="s">
        <v>372</v>
      </c>
      <c r="F14" s="4" t="s">
        <v>373</v>
      </c>
      <c r="G14" s="4" t="s">
        <v>374</v>
      </c>
    </row>
    <row r="15" spans="1:7" ht="72" customHeight="1">
      <c r="A15" s="1" t="s">
        <v>149</v>
      </c>
      <c r="B15" s="4" t="s">
        <v>375</v>
      </c>
      <c r="C15" s="4" t="s">
        <v>376</v>
      </c>
      <c r="D15" s="4" t="s">
        <v>377</v>
      </c>
      <c r="E15" s="4" t="s">
        <v>378</v>
      </c>
      <c r="F15" s="4" t="s">
        <v>379</v>
      </c>
      <c r="G15" s="4" t="s">
        <v>380</v>
      </c>
    </row>
    <row r="16" spans="1:7" ht="72" customHeight="1">
      <c r="A16" s="1" t="s">
        <v>156</v>
      </c>
      <c r="B16" s="4" t="s">
        <v>381</v>
      </c>
      <c r="C16" s="4" t="s">
        <v>382</v>
      </c>
      <c r="D16" s="4" t="s">
        <v>383</v>
      </c>
      <c r="E16" s="4" t="s">
        <v>384</v>
      </c>
      <c r="F16" s="4" t="s">
        <v>385</v>
      </c>
      <c r="G16" s="4" t="s">
        <v>386</v>
      </c>
    </row>
    <row r="17" spans="1:7" ht="72" customHeight="1">
      <c r="A17" s="1" t="s">
        <v>164</v>
      </c>
      <c r="B17" s="4" t="s">
        <v>387</v>
      </c>
      <c r="C17" s="4" t="s">
        <v>388</v>
      </c>
      <c r="D17" s="4" t="s">
        <v>389</v>
      </c>
      <c r="E17" s="4" t="s">
        <v>390</v>
      </c>
      <c r="F17" s="4" t="s">
        <v>391</v>
      </c>
      <c r="G17" s="4" t="s">
        <v>392</v>
      </c>
    </row>
    <row r="18" spans="1:7" ht="72" customHeight="1">
      <c r="A18" s="1" t="s">
        <v>171</v>
      </c>
      <c r="B18" s="4" t="s">
        <v>393</v>
      </c>
      <c r="C18" s="4" t="s">
        <v>394</v>
      </c>
      <c r="D18" s="4" t="s">
        <v>395</v>
      </c>
      <c r="E18" s="4" t="s">
        <v>396</v>
      </c>
      <c r="F18" s="4" t="s">
        <v>397</v>
      </c>
      <c r="G18" s="4" t="s">
        <v>398</v>
      </c>
    </row>
    <row r="19" spans="1:7" ht="72" customHeight="1">
      <c r="A19" s="1" t="s">
        <v>115</v>
      </c>
      <c r="B19" s="4" t="s">
        <v>399</v>
      </c>
      <c r="C19" s="4" t="s">
        <v>400</v>
      </c>
      <c r="D19" s="4" t="s">
        <v>401</v>
      </c>
      <c r="E19" s="4" t="s">
        <v>402</v>
      </c>
      <c r="F19" s="4" t="s">
        <v>403</v>
      </c>
      <c r="G19" s="4" t="s">
        <v>404</v>
      </c>
    </row>
    <row r="20" spans="1:7" ht="72" customHeight="1">
      <c r="A20" s="1" t="s">
        <v>125</v>
      </c>
      <c r="B20" s="4" t="s">
        <v>405</v>
      </c>
      <c r="C20" s="4" t="s">
        <v>406</v>
      </c>
      <c r="D20" s="4" t="s">
        <v>407</v>
      </c>
      <c r="E20" s="4" t="s">
        <v>408</v>
      </c>
      <c r="F20" s="4" t="s">
        <v>409</v>
      </c>
      <c r="G20" s="4" t="s">
        <v>410</v>
      </c>
    </row>
    <row r="21" spans="1:7" ht="72" customHeight="1">
      <c r="A21" s="1" t="s">
        <v>131</v>
      </c>
      <c r="B21" s="4" t="s">
        <v>411</v>
      </c>
      <c r="C21" s="4" t="s">
        <v>412</v>
      </c>
      <c r="D21" s="4" t="s">
        <v>413</v>
      </c>
      <c r="E21" s="4" t="s">
        <v>414</v>
      </c>
      <c r="F21" s="4" t="s">
        <v>415</v>
      </c>
      <c r="G21" s="4" t="s">
        <v>416</v>
      </c>
    </row>
    <row r="22" spans="1:7" ht="72" customHeight="1">
      <c r="A22" s="1" t="s">
        <v>203</v>
      </c>
      <c r="B22" s="4" t="s">
        <v>417</v>
      </c>
      <c r="C22" s="4" t="s">
        <v>418</v>
      </c>
      <c r="D22" s="4" t="s">
        <v>419</v>
      </c>
      <c r="E22" s="4" t="s">
        <v>420</v>
      </c>
      <c r="F22" s="4" t="s">
        <v>421</v>
      </c>
      <c r="G22" s="4" t="s">
        <v>422</v>
      </c>
    </row>
    <row r="23" spans="1:7" ht="72" customHeight="1">
      <c r="A23" s="1" t="s">
        <v>209</v>
      </c>
      <c r="B23" s="4" t="s">
        <v>423</v>
      </c>
      <c r="C23" s="4" t="s">
        <v>424</v>
      </c>
      <c r="D23" s="4" t="s">
        <v>425</v>
      </c>
      <c r="E23" s="4" t="s">
        <v>426</v>
      </c>
      <c r="F23" s="4" t="s">
        <v>427</v>
      </c>
      <c r="G23" s="4" t="s">
        <v>428</v>
      </c>
    </row>
    <row r="24" spans="1:7" ht="72" customHeight="1">
      <c r="A24" s="1" t="s">
        <v>217</v>
      </c>
      <c r="B24" s="4" t="s">
        <v>429</v>
      </c>
      <c r="C24" s="4" t="s">
        <v>430</v>
      </c>
      <c r="D24" s="4" t="s">
        <v>431</v>
      </c>
      <c r="E24" s="4" t="s">
        <v>432</v>
      </c>
      <c r="F24" s="4" t="s">
        <v>433</v>
      </c>
      <c r="G24" s="4" t="s">
        <v>434</v>
      </c>
    </row>
    <row r="25" spans="1:7" ht="72" customHeight="1">
      <c r="A25" s="1" t="s">
        <v>231</v>
      </c>
      <c r="B25" s="4" t="s">
        <v>435</v>
      </c>
      <c r="C25" s="4" t="s">
        <v>436</v>
      </c>
      <c r="D25" s="4" t="s">
        <v>437</v>
      </c>
      <c r="E25" s="4" t="s">
        <v>438</v>
      </c>
      <c r="F25" s="4" t="s">
        <v>439</v>
      </c>
      <c r="G25" s="4" t="s">
        <v>440</v>
      </c>
    </row>
    <row r="26" spans="1:7" ht="72" customHeight="1">
      <c r="A26" s="1" t="s">
        <v>243</v>
      </c>
      <c r="B26" s="4" t="s">
        <v>441</v>
      </c>
      <c r="C26" s="4" t="s">
        <v>442</v>
      </c>
      <c r="D26" s="4" t="s">
        <v>443</v>
      </c>
      <c r="E26" s="4" t="s">
        <v>444</v>
      </c>
      <c r="F26" s="4" t="s">
        <v>445</v>
      </c>
      <c r="G26" s="4" t="s">
        <v>446</v>
      </c>
    </row>
    <row r="27" spans="1:7" ht="72" customHeight="1">
      <c r="A27" s="1" t="s">
        <v>250</v>
      </c>
      <c r="B27" s="4" t="s">
        <v>447</v>
      </c>
      <c r="C27" s="4" t="s">
        <v>448</v>
      </c>
      <c r="D27" s="4" t="s">
        <v>449</v>
      </c>
      <c r="E27" s="4" t="s">
        <v>450</v>
      </c>
      <c r="F27" s="4" t="s">
        <v>451</v>
      </c>
      <c r="G27" s="4" t="s">
        <v>452</v>
      </c>
    </row>
    <row r="28" spans="1:7" ht="72" customHeight="1">
      <c r="A28" s="1" t="s">
        <v>267</v>
      </c>
      <c r="B28" s="4" t="s">
        <v>453</v>
      </c>
      <c r="C28" s="4" t="s">
        <v>454</v>
      </c>
      <c r="D28" s="4" t="s">
        <v>455</v>
      </c>
      <c r="E28" s="4" t="s">
        <v>456</v>
      </c>
      <c r="F28" s="4" t="s">
        <v>457</v>
      </c>
      <c r="G28" s="4" t="s">
        <v>458</v>
      </c>
    </row>
    <row r="29" spans="1:7" ht="72" customHeight="1">
      <c r="A29" s="1" t="s">
        <v>177</v>
      </c>
      <c r="B29" s="4" t="s">
        <v>459</v>
      </c>
      <c r="C29" s="4" t="s">
        <v>460</v>
      </c>
      <c r="D29" s="4" t="s">
        <v>461</v>
      </c>
      <c r="E29" s="4" t="s">
        <v>462</v>
      </c>
      <c r="F29" s="4" t="s">
        <v>463</v>
      </c>
      <c r="G29" s="4" t="s">
        <v>464</v>
      </c>
    </row>
    <row r="30" spans="1:7" ht="72" customHeight="1">
      <c r="A30" s="1" t="s">
        <v>183</v>
      </c>
      <c r="B30" s="4" t="s">
        <v>465</v>
      </c>
      <c r="C30" s="4" t="s">
        <v>466</v>
      </c>
      <c r="D30" s="4" t="s">
        <v>467</v>
      </c>
      <c r="E30" s="4" t="s">
        <v>468</v>
      </c>
      <c r="F30" s="4" t="s">
        <v>469</v>
      </c>
      <c r="G30" s="4" t="s">
        <v>470</v>
      </c>
    </row>
    <row r="31" spans="1:7" ht="72" customHeight="1">
      <c r="A31" s="1" t="s">
        <v>310</v>
      </c>
      <c r="B31" s="4" t="s">
        <v>471</v>
      </c>
      <c r="C31" s="4" t="s">
        <v>472</v>
      </c>
      <c r="D31" s="4" t="s">
        <v>473</v>
      </c>
      <c r="E31" s="4" t="s">
        <v>474</v>
      </c>
      <c r="F31" s="4" t="s">
        <v>475</v>
      </c>
      <c r="G31" s="4" t="s">
        <v>476</v>
      </c>
    </row>
    <row r="32" spans="1:7" ht="72" customHeight="1">
      <c r="A32" s="1" t="s">
        <v>317</v>
      </c>
      <c r="B32" s="4" t="s">
        <v>477</v>
      </c>
      <c r="C32" s="4" t="s">
        <v>478</v>
      </c>
      <c r="D32" s="4" t="s">
        <v>479</v>
      </c>
      <c r="E32" s="4" t="s">
        <v>480</v>
      </c>
      <c r="F32" s="4" t="s">
        <v>481</v>
      </c>
      <c r="G32" s="4" t="s">
        <v>398</v>
      </c>
    </row>
  </sheetData>
  <mergeCells count="2">
    <mergeCell ref="A1:G2"/>
    <mergeCell ref="A3:G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workbookViewId="0"/>
  </sheetViews>
  <sheetFormatPr defaultRowHeight="14.25"/>
  <cols>
    <col min="1" max="1" width="14" customWidth="1"/>
    <col min="2" max="2" width="31" customWidth="1"/>
    <col min="3" max="3" width="18" customWidth="1"/>
    <col min="4" max="4" width="15" customWidth="1"/>
    <col min="5" max="5" width="24" customWidth="1"/>
    <col min="6" max="6" width="32" customWidth="1"/>
    <col min="7" max="7" width="45" customWidth="1"/>
    <col min="8" max="8" width="43" customWidth="1"/>
  </cols>
  <sheetData>
    <row r="1" spans="1:8" ht="36" customHeight="1">
      <c r="A1" s="62" t="s">
        <v>482</v>
      </c>
      <c r="B1" s="62"/>
      <c r="C1" s="62"/>
      <c r="D1" s="62"/>
      <c r="E1" s="62"/>
      <c r="F1" s="62"/>
      <c r="G1" s="62"/>
      <c r="H1" s="62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ht="32.1" customHeight="1">
      <c r="A3" s="63" t="s">
        <v>483</v>
      </c>
      <c r="B3" s="63"/>
      <c r="C3" s="63"/>
      <c r="D3" s="63"/>
      <c r="E3" s="63"/>
      <c r="F3" s="63"/>
      <c r="G3" s="63"/>
      <c r="H3" s="63"/>
    </row>
    <row r="4" spans="1:8">
      <c r="A4" s="10"/>
      <c r="B4" s="10"/>
      <c r="C4" s="10"/>
      <c r="D4" s="10"/>
      <c r="E4" s="10"/>
      <c r="F4" s="10"/>
      <c r="G4" s="10"/>
      <c r="H4" s="10"/>
    </row>
    <row r="5" spans="1:8" ht="15.75">
      <c r="A5" s="64" t="s">
        <v>484</v>
      </c>
      <c r="B5" s="64"/>
      <c r="C5" s="64"/>
      <c r="D5" s="64"/>
      <c r="E5" s="64"/>
      <c r="F5" s="64"/>
      <c r="G5" s="64"/>
      <c r="H5" s="64"/>
    </row>
    <row r="6" spans="1:8">
      <c r="A6" s="14" t="s">
        <v>37</v>
      </c>
      <c r="B6" s="14" t="s">
        <v>485</v>
      </c>
      <c r="C6" s="14" t="s">
        <v>486</v>
      </c>
      <c r="D6" s="14" t="s">
        <v>487</v>
      </c>
      <c r="E6" s="14" t="s">
        <v>488</v>
      </c>
      <c r="F6" s="14" t="s">
        <v>489</v>
      </c>
      <c r="G6" s="14" t="s">
        <v>490</v>
      </c>
      <c r="H6" s="14" t="s">
        <v>491</v>
      </c>
    </row>
    <row r="7" spans="1:8" ht="63.95" customHeight="1">
      <c r="A7" s="11" t="s">
        <v>224</v>
      </c>
      <c r="B7" s="11" t="s">
        <v>492</v>
      </c>
      <c r="C7" s="11">
        <v>3</v>
      </c>
      <c r="D7" s="11" t="s">
        <v>493</v>
      </c>
      <c r="E7" s="11" t="s">
        <v>494</v>
      </c>
      <c r="F7" s="11" t="s">
        <v>495</v>
      </c>
      <c r="G7" s="11" t="s">
        <v>229</v>
      </c>
      <c r="H7" s="11" t="s">
        <v>496</v>
      </c>
    </row>
    <row r="8" spans="1:8" ht="63.95" customHeight="1">
      <c r="A8" s="11" t="s">
        <v>232</v>
      </c>
      <c r="B8" s="11" t="s">
        <v>497</v>
      </c>
      <c r="C8" s="11">
        <v>2</v>
      </c>
      <c r="D8" s="11" t="s">
        <v>493</v>
      </c>
      <c r="E8" s="11" t="s">
        <v>498</v>
      </c>
      <c r="F8" s="11" t="s">
        <v>499</v>
      </c>
      <c r="G8" s="11" t="s">
        <v>236</v>
      </c>
      <c r="H8" s="11" t="s">
        <v>500</v>
      </c>
    </row>
    <row r="9" spans="1:8">
      <c r="A9" s="10"/>
      <c r="B9" s="10"/>
      <c r="C9" s="10"/>
      <c r="D9" s="10"/>
      <c r="E9" s="10"/>
      <c r="F9" s="10"/>
      <c r="G9" s="10"/>
      <c r="H9" s="10"/>
    </row>
    <row r="10" spans="1:8">
      <c r="A10" s="10"/>
      <c r="B10" s="10"/>
      <c r="C10" s="10"/>
      <c r="D10" s="10"/>
      <c r="E10" s="10"/>
      <c r="F10" s="10"/>
      <c r="G10" s="10"/>
      <c r="H10" s="10"/>
    </row>
    <row r="11" spans="1:8" ht="15.75">
      <c r="A11" s="64" t="s">
        <v>501</v>
      </c>
      <c r="B11" s="64"/>
      <c r="C11" s="64"/>
      <c r="D11" s="64"/>
      <c r="E11" s="64"/>
      <c r="F11" s="64"/>
      <c r="G11" s="64"/>
      <c r="H11" s="64"/>
    </row>
    <row r="12" spans="1:8" ht="25.5">
      <c r="A12" s="14" t="s">
        <v>502</v>
      </c>
      <c r="B12" s="14" t="s">
        <v>503</v>
      </c>
      <c r="C12" s="14" t="s">
        <v>504</v>
      </c>
      <c r="D12" s="14" t="s">
        <v>505</v>
      </c>
      <c r="E12" s="14" t="s">
        <v>506</v>
      </c>
      <c r="F12" s="14" t="s">
        <v>507</v>
      </c>
      <c r="G12" s="14" t="s">
        <v>508</v>
      </c>
      <c r="H12" s="14" t="s">
        <v>509</v>
      </c>
    </row>
    <row r="13" spans="1:8" ht="57.95" customHeight="1">
      <c r="A13" s="11" t="s">
        <v>510</v>
      </c>
      <c r="B13" s="11" t="s">
        <v>511</v>
      </c>
      <c r="C13" s="11" t="s">
        <v>512</v>
      </c>
      <c r="D13" s="11">
        <v>2</v>
      </c>
      <c r="E13" s="11" t="s">
        <v>513</v>
      </c>
      <c r="F13" s="11" t="s">
        <v>514</v>
      </c>
      <c r="G13" s="11" t="s">
        <v>515</v>
      </c>
      <c r="H13" s="11" t="s">
        <v>516</v>
      </c>
    </row>
    <row r="14" spans="1:8" ht="57.95" customHeight="1">
      <c r="A14" s="11" t="s">
        <v>517</v>
      </c>
      <c r="B14" s="11" t="s">
        <v>518</v>
      </c>
      <c r="C14" s="11" t="s">
        <v>519</v>
      </c>
      <c r="D14" s="11">
        <v>2</v>
      </c>
      <c r="E14" s="11" t="s">
        <v>513</v>
      </c>
      <c r="F14" s="11" t="s">
        <v>514</v>
      </c>
      <c r="G14" s="11" t="s">
        <v>520</v>
      </c>
      <c r="H14" s="11" t="s">
        <v>521</v>
      </c>
    </row>
    <row r="15" spans="1:8" ht="57.95" customHeight="1">
      <c r="A15" s="11" t="s">
        <v>522</v>
      </c>
      <c r="B15" s="11" t="s">
        <v>523</v>
      </c>
      <c r="C15" s="11" t="s">
        <v>524</v>
      </c>
      <c r="D15" s="11">
        <v>3</v>
      </c>
      <c r="E15" s="11" t="s">
        <v>525</v>
      </c>
      <c r="F15" s="11" t="s">
        <v>526</v>
      </c>
      <c r="G15" s="11" t="s">
        <v>527</v>
      </c>
      <c r="H15" s="11" t="s">
        <v>528</v>
      </c>
    </row>
    <row r="16" spans="1:8" ht="57.95" customHeight="1">
      <c r="A16" s="11" t="s">
        <v>529</v>
      </c>
      <c r="B16" s="11" t="s">
        <v>530</v>
      </c>
      <c r="C16" s="11" t="s">
        <v>531</v>
      </c>
      <c r="D16" s="11">
        <v>2</v>
      </c>
      <c r="E16" s="11" t="s">
        <v>525</v>
      </c>
      <c r="F16" s="11" t="s">
        <v>532</v>
      </c>
      <c r="G16" s="11" t="s">
        <v>533</v>
      </c>
      <c r="H16" s="11" t="s">
        <v>534</v>
      </c>
    </row>
    <row r="17" spans="1:8" ht="57.95" customHeight="1">
      <c r="A17" s="11" t="s">
        <v>535</v>
      </c>
      <c r="B17" s="11" t="s">
        <v>530</v>
      </c>
      <c r="C17" s="11" t="s">
        <v>536</v>
      </c>
      <c r="D17" s="11">
        <v>2</v>
      </c>
      <c r="E17" s="11" t="s">
        <v>525</v>
      </c>
      <c r="F17" s="11" t="s">
        <v>537</v>
      </c>
      <c r="G17" s="11" t="s">
        <v>533</v>
      </c>
      <c r="H17" s="11" t="s">
        <v>538</v>
      </c>
    </row>
    <row r="18" spans="1:8" ht="57.95" customHeight="1">
      <c r="A18" s="11" t="s">
        <v>539</v>
      </c>
      <c r="B18" s="11" t="s">
        <v>540</v>
      </c>
      <c r="C18" s="11" t="s">
        <v>541</v>
      </c>
      <c r="D18" s="11">
        <v>4</v>
      </c>
      <c r="E18" s="11" t="s">
        <v>525</v>
      </c>
      <c r="F18" s="11" t="s">
        <v>542</v>
      </c>
      <c r="G18" s="11" t="s">
        <v>543</v>
      </c>
      <c r="H18" s="11" t="s">
        <v>544</v>
      </c>
    </row>
    <row r="19" spans="1:8" ht="57.95" customHeight="1">
      <c r="A19" s="11" t="s">
        <v>545</v>
      </c>
      <c r="B19" s="11" t="s">
        <v>546</v>
      </c>
      <c r="C19" s="11" t="s">
        <v>547</v>
      </c>
      <c r="D19" s="11">
        <v>3</v>
      </c>
      <c r="E19" s="11" t="s">
        <v>548</v>
      </c>
      <c r="F19" s="11" t="s">
        <v>549</v>
      </c>
      <c r="G19" s="11" t="s">
        <v>550</v>
      </c>
      <c r="H19" s="11" t="s">
        <v>551</v>
      </c>
    </row>
    <row r="20" spans="1:8" ht="57.95" customHeight="1">
      <c r="A20" s="11" t="s">
        <v>552</v>
      </c>
      <c r="B20" s="11" t="s">
        <v>553</v>
      </c>
      <c r="C20" s="11" t="s">
        <v>554</v>
      </c>
      <c r="D20" s="11">
        <v>2</v>
      </c>
      <c r="E20" s="11" t="s">
        <v>513</v>
      </c>
      <c r="F20" s="11" t="s">
        <v>555</v>
      </c>
      <c r="G20" s="11" t="s">
        <v>556</v>
      </c>
      <c r="H20" s="11" t="s">
        <v>557</v>
      </c>
    </row>
    <row r="21" spans="1:8" ht="57.95" customHeight="1">
      <c r="A21" s="11" t="s">
        <v>558</v>
      </c>
      <c r="B21" s="11" t="s">
        <v>559</v>
      </c>
      <c r="C21" s="11" t="s">
        <v>560</v>
      </c>
      <c r="D21" s="11">
        <v>1</v>
      </c>
      <c r="E21" s="11" t="s">
        <v>561</v>
      </c>
      <c r="F21" s="11" t="s">
        <v>562</v>
      </c>
      <c r="G21" s="11" t="s">
        <v>563</v>
      </c>
      <c r="H21" s="11" t="s">
        <v>564</v>
      </c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  <row r="24" spans="1:8" ht="15.75">
      <c r="A24" s="64" t="s">
        <v>565</v>
      </c>
      <c r="B24" s="64"/>
      <c r="C24" s="10"/>
      <c r="D24" s="64" t="s">
        <v>566</v>
      </c>
      <c r="E24" s="64"/>
      <c r="F24" s="64"/>
      <c r="G24" s="64"/>
      <c r="H24" s="64"/>
    </row>
    <row r="25" spans="1:8">
      <c r="A25" s="15" t="s">
        <v>567</v>
      </c>
      <c r="B25" s="15" t="s">
        <v>568</v>
      </c>
      <c r="C25" s="10"/>
      <c r="D25" s="14" t="s">
        <v>569</v>
      </c>
      <c r="E25" s="14" t="s">
        <v>570</v>
      </c>
      <c r="F25" s="14" t="s">
        <v>571</v>
      </c>
      <c r="G25" s="14" t="s">
        <v>572</v>
      </c>
      <c r="H25" s="14" t="s">
        <v>573</v>
      </c>
    </row>
    <row r="26" spans="1:8" ht="45" customHeight="1">
      <c r="A26" s="16">
        <v>1</v>
      </c>
      <c r="B26" s="11" t="s">
        <v>574</v>
      </c>
      <c r="C26" s="10"/>
      <c r="D26" s="11" t="s">
        <v>575</v>
      </c>
      <c r="E26" s="11" t="s">
        <v>576</v>
      </c>
      <c r="F26" s="11" t="s">
        <v>577</v>
      </c>
      <c r="G26" s="11" t="s">
        <v>578</v>
      </c>
      <c r="H26" s="11" t="s">
        <v>579</v>
      </c>
    </row>
    <row r="27" spans="1:8" ht="45" customHeight="1">
      <c r="A27" s="16">
        <v>2</v>
      </c>
      <c r="B27" s="11" t="s">
        <v>580</v>
      </c>
      <c r="C27" s="10"/>
      <c r="D27" s="11" t="s">
        <v>581</v>
      </c>
      <c r="E27" s="11" t="s">
        <v>576</v>
      </c>
      <c r="F27" s="11" t="s">
        <v>582</v>
      </c>
      <c r="G27" s="11" t="s">
        <v>583</v>
      </c>
      <c r="H27" s="11" t="s">
        <v>584</v>
      </c>
    </row>
    <row r="28" spans="1:8" ht="45" customHeight="1">
      <c r="A28" s="16">
        <v>3</v>
      </c>
      <c r="B28" s="11" t="s">
        <v>585</v>
      </c>
      <c r="C28" s="10"/>
      <c r="D28" s="11" t="s">
        <v>586</v>
      </c>
      <c r="E28" s="11" t="s">
        <v>587</v>
      </c>
      <c r="F28" s="11" t="s">
        <v>588</v>
      </c>
      <c r="G28" s="11" t="s">
        <v>589</v>
      </c>
      <c r="H28" s="11" t="s">
        <v>590</v>
      </c>
    </row>
    <row r="29" spans="1:8" ht="45" customHeight="1">
      <c r="A29" s="16">
        <v>4</v>
      </c>
      <c r="B29" s="11" t="s">
        <v>591</v>
      </c>
      <c r="C29" s="10"/>
      <c r="D29" s="11" t="s">
        <v>592</v>
      </c>
      <c r="E29" s="11" t="s">
        <v>587</v>
      </c>
      <c r="F29" s="11" t="s">
        <v>593</v>
      </c>
      <c r="G29" s="11" t="s">
        <v>594</v>
      </c>
      <c r="H29" s="11" t="s">
        <v>595</v>
      </c>
    </row>
    <row r="30" spans="1:8" ht="33.950000000000003" customHeight="1">
      <c r="A30" s="16">
        <v>5</v>
      </c>
      <c r="B30" s="11" t="s">
        <v>596</v>
      </c>
      <c r="C30" s="10"/>
      <c r="D30" s="10"/>
      <c r="E30" s="10"/>
      <c r="F30" s="10"/>
      <c r="G30" s="10"/>
      <c r="H30" s="10"/>
    </row>
    <row r="31" spans="1:8" ht="33.950000000000003" customHeight="1">
      <c r="A31" s="16">
        <v>6</v>
      </c>
      <c r="B31" s="11" t="s">
        <v>597</v>
      </c>
      <c r="C31" s="10"/>
      <c r="D31" s="56" t="s">
        <v>598</v>
      </c>
      <c r="E31" s="57"/>
      <c r="F31" s="57"/>
      <c r="G31" s="57"/>
      <c r="H31" s="58"/>
    </row>
    <row r="32" spans="1:8" ht="33.950000000000003" customHeight="1">
      <c r="A32" s="17">
        <v>7</v>
      </c>
      <c r="B32" s="12" t="s">
        <v>599</v>
      </c>
      <c r="C32" s="13"/>
      <c r="D32" s="59"/>
      <c r="E32" s="60"/>
      <c r="F32" s="60"/>
      <c r="G32" s="60"/>
      <c r="H32" s="61"/>
    </row>
  </sheetData>
  <mergeCells count="7">
    <mergeCell ref="D31:H32"/>
    <mergeCell ref="A1:H1"/>
    <mergeCell ref="A3:H3"/>
    <mergeCell ref="A5:H5"/>
    <mergeCell ref="A11:H11"/>
    <mergeCell ref="A24:B24"/>
    <mergeCell ref="D24:H2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Purchase BOM</vt:lpstr>
      <vt:lpstr>Commercial Alternatives</vt:lpstr>
      <vt:lpstr>Wiring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ESP32Dev</dc:creator>
  <cp:lastModifiedBy>ESP32Dev</cp:lastModifiedBy>
  <dcterms:modified xsi:type="dcterms:W3CDTF">2026-09-04T15:51:37Z</dcterms:modified>
</cp:coreProperties>
</file>